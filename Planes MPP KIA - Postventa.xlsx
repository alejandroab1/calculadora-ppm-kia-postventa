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 AGUERO\calculadora ppm\"/>
    </mc:Choice>
  </mc:AlternateContent>
  <xr:revisionPtr revIDLastSave="0" documentId="13_ncr:1_{ACCF337E-66C2-4247-81B9-CD4EF2078BD7}" xr6:coauthVersionLast="47" xr6:coauthVersionMax="47" xr10:uidLastSave="{00000000-0000-0000-0000-000000000000}"/>
  <bookViews>
    <workbookView xWindow="-108" yWindow="-108" windowWidth="23256" windowHeight="12456" firstSheet="2" activeTab="2" xr2:uid="{BB9237B0-1E6D-4DE2-8F06-C66B3F37BE52}"/>
  </bookViews>
  <sheets>
    <sheet name="5K" sheetId="1" r:id="rId1"/>
    <sheet name="10K" sheetId="2" r:id="rId2"/>
    <sheet name="15K" sheetId="3" r:id="rId3"/>
    <sheet name="5K DUO" sheetId="4" r:id="rId4"/>
    <sheet name="10K DUO" sheetId="5" r:id="rId5"/>
    <sheet name="15K DUO" sheetId="6" r:id="rId6"/>
    <sheet name="Sportage NQ5 HEV 1.6 DCT (15K)" sheetId="7" r:id="rId7"/>
    <sheet name="Niro SG2 HEV 1.6 GDI (15K)" sheetId="8" r:id="rId8"/>
    <sheet name="Niro DE HEV 1.6 GDI (15K) " sheetId="9" r:id="rId9"/>
    <sheet name="Niro SG2 EV (15K) " sheetId="10" r:id="rId10"/>
    <sheet name="EV5 EV (15K) " sheetId="11" r:id="rId11"/>
    <sheet name="EV9 (MV)" sheetId="12" r:id="rId12"/>
  </sheets>
  <externalReferences>
    <externalReference r:id="rId13"/>
  </externalReferences>
  <definedNames>
    <definedName name="HH">[1]Precios!$F$6</definedName>
    <definedName name="MATERIALES">[1]Precios!$F$9</definedName>
    <definedName name="REP_COST">[1]Precios!$B$14:$J$151</definedName>
    <definedName name="REP_LUB">[1]Precios!$B$14:$F$151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5" i="12" l="1"/>
  <c r="M45" i="12"/>
  <c r="L45" i="12"/>
  <c r="K45" i="12"/>
  <c r="J45" i="12"/>
  <c r="I45" i="12"/>
  <c r="H45" i="12"/>
  <c r="G45" i="12"/>
  <c r="N41" i="12"/>
  <c r="M41" i="12"/>
  <c r="L41" i="12"/>
  <c r="K41" i="12"/>
  <c r="J41" i="12"/>
  <c r="I41" i="12"/>
  <c r="H41" i="12"/>
  <c r="G41" i="12"/>
  <c r="F41" i="12"/>
  <c r="N32" i="12"/>
  <c r="M32" i="12"/>
  <c r="L32" i="12"/>
  <c r="K32" i="12"/>
  <c r="J32" i="12"/>
  <c r="I32" i="12"/>
  <c r="H32" i="12"/>
  <c r="G32" i="12"/>
  <c r="F32" i="12"/>
  <c r="N23" i="12"/>
  <c r="M23" i="12"/>
  <c r="L23" i="12"/>
  <c r="K23" i="12"/>
  <c r="J23" i="12"/>
  <c r="I23" i="12"/>
  <c r="H23" i="12"/>
  <c r="G23" i="12"/>
  <c r="F23" i="12"/>
  <c r="N7" i="12"/>
  <c r="M7" i="12"/>
  <c r="L7" i="12"/>
  <c r="K7" i="12"/>
  <c r="J7" i="12"/>
  <c r="I7" i="12"/>
  <c r="H7" i="12"/>
  <c r="G7" i="12"/>
  <c r="F7" i="12"/>
  <c r="F6" i="12"/>
  <c r="N46" i="11"/>
  <c r="M46" i="11"/>
  <c r="L46" i="11"/>
  <c r="K46" i="11"/>
  <c r="J46" i="11"/>
  <c r="I46" i="11"/>
  <c r="H46" i="11"/>
  <c r="G46" i="11"/>
  <c r="N42" i="11"/>
  <c r="M42" i="11"/>
  <c r="L42" i="11"/>
  <c r="K42" i="11"/>
  <c r="J42" i="11"/>
  <c r="I42" i="11"/>
  <c r="H42" i="11"/>
  <c r="G42" i="11"/>
  <c r="F42" i="11"/>
  <c r="N33" i="11"/>
  <c r="M33" i="11"/>
  <c r="L33" i="11"/>
  <c r="K33" i="11"/>
  <c r="J33" i="11"/>
  <c r="I33" i="11"/>
  <c r="H33" i="11"/>
  <c r="G33" i="11"/>
  <c r="F33" i="11"/>
  <c r="N24" i="11"/>
  <c r="M24" i="11"/>
  <c r="L24" i="11"/>
  <c r="K24" i="11"/>
  <c r="J24" i="11"/>
  <c r="I24" i="11"/>
  <c r="H24" i="11"/>
  <c r="G24" i="11"/>
  <c r="F24" i="11"/>
  <c r="N7" i="11"/>
  <c r="M7" i="11"/>
  <c r="L7" i="11"/>
  <c r="K7" i="11"/>
  <c r="J7" i="11"/>
  <c r="I7" i="11"/>
  <c r="H7" i="11"/>
  <c r="G7" i="11"/>
  <c r="F7" i="11"/>
  <c r="F6" i="11"/>
  <c r="N45" i="10"/>
  <c r="M45" i="10"/>
  <c r="L45" i="10"/>
  <c r="K45" i="10"/>
  <c r="J45" i="10"/>
  <c r="I45" i="10"/>
  <c r="H45" i="10"/>
  <c r="G45" i="10"/>
  <c r="N41" i="10"/>
  <c r="M41" i="10"/>
  <c r="L41" i="10"/>
  <c r="K41" i="10"/>
  <c r="J41" i="10"/>
  <c r="I41" i="10"/>
  <c r="H41" i="10"/>
  <c r="G41" i="10"/>
  <c r="F41" i="10"/>
  <c r="N33" i="10"/>
  <c r="M33" i="10"/>
  <c r="L33" i="10"/>
  <c r="K33" i="10"/>
  <c r="J33" i="10"/>
  <c r="I33" i="10"/>
  <c r="H33" i="10"/>
  <c r="G33" i="10"/>
  <c r="F33" i="10"/>
  <c r="N24" i="10"/>
  <c r="M24" i="10"/>
  <c r="L24" i="10"/>
  <c r="K24" i="10"/>
  <c r="J24" i="10"/>
  <c r="I24" i="10"/>
  <c r="H24" i="10"/>
  <c r="G24" i="10"/>
  <c r="F24" i="10"/>
  <c r="N7" i="10"/>
  <c r="M7" i="10"/>
  <c r="L7" i="10"/>
  <c r="K7" i="10"/>
  <c r="J7" i="10"/>
  <c r="I7" i="10"/>
  <c r="H7" i="10"/>
  <c r="G7" i="10"/>
  <c r="F7" i="10"/>
  <c r="N54" i="9"/>
  <c r="M54" i="9"/>
  <c r="L54" i="9"/>
  <c r="K54" i="9"/>
  <c r="J54" i="9"/>
  <c r="I54" i="9"/>
  <c r="H54" i="9"/>
  <c r="G54" i="9"/>
  <c r="N50" i="9"/>
  <c r="M50" i="9"/>
  <c r="L50" i="9"/>
  <c r="K50" i="9"/>
  <c r="J50" i="9"/>
  <c r="I50" i="9"/>
  <c r="H50" i="9"/>
  <c r="G50" i="9"/>
  <c r="F50" i="9"/>
  <c r="N40" i="9"/>
  <c r="M40" i="9"/>
  <c r="L40" i="9"/>
  <c r="K40" i="9"/>
  <c r="J40" i="9"/>
  <c r="I40" i="9"/>
  <c r="H40" i="9"/>
  <c r="G40" i="9"/>
  <c r="F40" i="9"/>
  <c r="G28" i="9"/>
  <c r="N27" i="9"/>
  <c r="M27" i="9"/>
  <c r="L27" i="9"/>
  <c r="K27" i="9"/>
  <c r="J27" i="9"/>
  <c r="I27" i="9"/>
  <c r="H27" i="9"/>
  <c r="G27" i="9"/>
  <c r="F27" i="9"/>
  <c r="F7" i="9"/>
  <c r="N54" i="8"/>
  <c r="M54" i="8"/>
  <c r="L54" i="8"/>
  <c r="K54" i="8"/>
  <c r="J54" i="8"/>
  <c r="I54" i="8"/>
  <c r="H54" i="8"/>
  <c r="G54" i="8"/>
  <c r="N50" i="8"/>
  <c r="M50" i="8"/>
  <c r="L50" i="8"/>
  <c r="K50" i="8"/>
  <c r="J50" i="8"/>
  <c r="I50" i="8"/>
  <c r="H50" i="8"/>
  <c r="G50" i="8"/>
  <c r="F50" i="8"/>
  <c r="N40" i="8"/>
  <c r="M40" i="8"/>
  <c r="L40" i="8"/>
  <c r="K40" i="8"/>
  <c r="J40" i="8"/>
  <c r="I40" i="8"/>
  <c r="H40" i="8"/>
  <c r="G40" i="8"/>
  <c r="F40" i="8"/>
  <c r="N27" i="8"/>
  <c r="M27" i="8"/>
  <c r="L27" i="8"/>
  <c r="K27" i="8"/>
  <c r="J27" i="8"/>
  <c r="I27" i="8"/>
  <c r="H27" i="8"/>
  <c r="G27" i="8"/>
  <c r="F27" i="8"/>
  <c r="N7" i="8"/>
  <c r="M7" i="8"/>
  <c r="L7" i="8"/>
  <c r="K7" i="8"/>
  <c r="J7" i="8"/>
  <c r="I7" i="8"/>
  <c r="F7" i="8"/>
  <c r="N54" i="7"/>
  <c r="M54" i="7"/>
  <c r="L54" i="7"/>
  <c r="K54" i="7"/>
  <c r="J54" i="7"/>
  <c r="I54" i="7"/>
  <c r="H54" i="7"/>
  <c r="G54" i="7"/>
  <c r="N50" i="7"/>
  <c r="M50" i="7"/>
  <c r="L50" i="7"/>
  <c r="K50" i="7"/>
  <c r="J50" i="7"/>
  <c r="I50" i="7"/>
  <c r="H50" i="7"/>
  <c r="G50" i="7"/>
  <c r="F50" i="7"/>
  <c r="N40" i="7"/>
  <c r="M40" i="7"/>
  <c r="L40" i="7"/>
  <c r="K40" i="7"/>
  <c r="J40" i="7"/>
  <c r="I40" i="7"/>
  <c r="H40" i="7"/>
  <c r="G40" i="7"/>
  <c r="F40" i="7"/>
  <c r="N27" i="7"/>
  <c r="M27" i="7"/>
  <c r="L27" i="7"/>
  <c r="K27" i="7"/>
  <c r="J27" i="7"/>
  <c r="I27" i="7"/>
  <c r="H27" i="7"/>
  <c r="G27" i="7"/>
  <c r="F27" i="7"/>
  <c r="L7" i="7"/>
  <c r="K7" i="7"/>
  <c r="J7" i="7"/>
  <c r="I7" i="7"/>
  <c r="H7" i="7"/>
  <c r="G7" i="7"/>
  <c r="F7" i="7"/>
  <c r="H7" i="8" l="1"/>
  <c r="G7" i="8"/>
  <c r="F6" i="8"/>
  <c r="N28" i="9"/>
  <c r="N6" i="9" s="1"/>
  <c r="M28" i="9"/>
  <c r="M6" i="9" s="1"/>
  <c r="L28" i="9"/>
  <c r="L6" i="9" s="1"/>
  <c r="K28" i="9"/>
  <c r="K6" i="9" s="1"/>
  <c r="J28" i="9"/>
  <c r="J6" i="9" s="1"/>
  <c r="I28" i="9"/>
  <c r="I6" i="9" s="1"/>
  <c r="H28" i="9"/>
  <c r="H6" i="9" s="1"/>
  <c r="N7" i="9"/>
  <c r="M7" i="9"/>
  <c r="L7" i="9"/>
  <c r="K7" i="9"/>
  <c r="J7" i="9"/>
  <c r="I7" i="9"/>
  <c r="H7" i="9"/>
  <c r="G7" i="9"/>
  <c r="G6" i="9"/>
  <c r="F6" i="9"/>
  <c r="N25" i="10"/>
  <c r="N6" i="10" s="1"/>
  <c r="M25" i="10"/>
  <c r="M6" i="10" s="1"/>
  <c r="L25" i="10"/>
  <c r="L6" i="10" s="1"/>
  <c r="K25" i="10"/>
  <c r="K6" i="10" s="1"/>
  <c r="J25" i="10"/>
  <c r="J6" i="10" s="1"/>
  <c r="I25" i="10"/>
  <c r="I6" i="10" s="1"/>
  <c r="H25" i="10"/>
  <c r="H6" i="10" s="1"/>
  <c r="G25" i="10"/>
  <c r="G6" i="10" s="1"/>
  <c r="F6" i="10"/>
  <c r="N25" i="11"/>
  <c r="N6" i="11" s="1"/>
  <c r="M25" i="11"/>
  <c r="M6" i="11" s="1"/>
  <c r="L25" i="11"/>
  <c r="L6" i="11" s="1"/>
  <c r="K25" i="11"/>
  <c r="K6" i="11" s="1"/>
  <c r="J25" i="11"/>
  <c r="J6" i="11" s="1"/>
  <c r="I25" i="11"/>
  <c r="I6" i="11" s="1"/>
  <c r="H25" i="11"/>
  <c r="H6" i="11" s="1"/>
  <c r="G25" i="11"/>
  <c r="G6" i="11" s="1"/>
  <c r="N24" i="12"/>
  <c r="N6" i="12" s="1"/>
  <c r="M24" i="12"/>
  <c r="M6" i="12" s="1"/>
  <c r="L24" i="12"/>
  <c r="L6" i="12" s="1"/>
  <c r="K24" i="12"/>
  <c r="K6" i="12" s="1"/>
  <c r="J24" i="12"/>
  <c r="J6" i="12" s="1"/>
  <c r="I24" i="12"/>
  <c r="I6" i="12" s="1"/>
  <c r="H24" i="12"/>
  <c r="H6" i="12" s="1"/>
  <c r="G24" i="12"/>
  <c r="G6" i="12" s="1"/>
  <c r="N28" i="8"/>
  <c r="N6" i="8" s="1"/>
  <c r="M28" i="8"/>
  <c r="M6" i="8" s="1"/>
  <c r="L28" i="8"/>
  <c r="L6" i="8" s="1"/>
  <c r="K28" i="8"/>
  <c r="K6" i="8" s="1"/>
  <c r="J28" i="8"/>
  <c r="J6" i="8" s="1"/>
  <c r="I28" i="8"/>
  <c r="I6" i="8" s="1"/>
  <c r="H28" i="8"/>
  <c r="H6" i="8" s="1"/>
  <c r="G28" i="8"/>
  <c r="G6" i="8" s="1"/>
  <c r="F6" i="7"/>
  <c r="N28" i="7"/>
  <c r="N6" i="7" s="1"/>
  <c r="M28" i="7"/>
  <c r="M6" i="7" s="1"/>
  <c r="L28" i="7"/>
  <c r="L6" i="7" s="1"/>
  <c r="K28" i="7"/>
  <c r="K6" i="7" s="1"/>
  <c r="J28" i="7"/>
  <c r="J6" i="7" s="1"/>
  <c r="I28" i="7"/>
  <c r="I6" i="7" s="1"/>
  <c r="H28" i="7"/>
  <c r="H6" i="7" s="1"/>
  <c r="G28" i="7"/>
  <c r="G6" i="7" s="1"/>
  <c r="N7" i="7"/>
  <c r="M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tc={48E175AF-87BD-49F9-BACB-26C3C5FAD7D0}</author>
  </authors>
  <commentList>
    <comment ref="B7" authorId="0" shapeId="0" xr:uid="{48E175AF-87BD-49F9-BACB-26C3C5FAD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- 28113P0400
- LIQUIDOFRENO
- LIQUIDOREFRI
- LIQUIDO ACTUADOR EMBRAGUE
Ver hoja 'Alerta Costos'.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tc={404DD869-B71C-4E48-B4C7-4CBB83AE20A1}</author>
  </authors>
  <commentList>
    <comment ref="B7" authorId="0" shapeId="0" xr:uid="{404DD869-B71C-4E48-B4C7-4CBB83AE2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LIQUIDOFRENO
- LIQUIDOREFRI
- LIQUIDO ACTUADOR EMBRAGUE
Ver hoja 'Alerta Costos'.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tc={2F1B62F0-BE0A-4BE3-9F33-24D192866637}</author>
  </authors>
  <commentList>
    <comment ref="B7" authorId="0" shapeId="0" xr:uid="{2F1B62F0-BE0A-4BE3-9F33-24D1928666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LIQUIDOFRENO
- LIQUIDOREFRI
- LIQUIDO ACTUADOR EMBRAGUE
Ver hoja 'Alerta Costos'.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tc={A740427E-E947-4A7E-B5CC-2DD6ED06D888}</author>
  </authors>
  <commentList>
    <comment ref="B7" authorId="0" shapeId="0" xr:uid="{A740427E-E947-4A7E-B5CC-2DD6ED06D8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LIQUIDOFRENO
- LIQUIDOREFRI
Ver hoja 'Alerta Costos'.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tc={F0A1C617-F8D0-4A9F-9012-464E5374684F}</author>
  </authors>
  <commentList>
    <comment ref="B7" authorId="0" shapeId="0" xr:uid="{F0A1C617-F8D0-4A9F-9012-464E537468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- 97133R4000
- LIQUIDOFRENO
- LIQUIDOREFRI
- SKP214145
Ver hoja 'Alerta Costos'.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tc={0606BD5F-AEAB-4B19-9663-BA88B6E9828F}</author>
    <author>Franklin Aymara</author>
  </authors>
  <commentList>
    <comment ref="B7" authorId="0" shapeId="0" xr:uid="{0606BD5F-AEAB-4B19-9663-BA88B6E982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Códigos sin costo en Precios (se calculan como 0):
- 97133R4000
- LIQUIDOFRENO
- LIQUIDOREFRI
- SK ATF SP4M-1
Ver hoja 'Alerta Costos'.</t>
      </text>
    </comment>
    <comment ref="B39" authorId="1" shapeId="0" xr:uid="{7CE73A73-1AF7-4DED-9C83-A0C5C7FD8D70}">
      <text>
        <r>
          <rPr>
            <b/>
            <sz val="9"/>
            <color indexed="81"/>
            <rFont val="Tahoma"/>
            <family val="2"/>
          </rPr>
          <t>Franklin Aymara:</t>
        </r>
        <r>
          <rPr>
            <sz val="9"/>
            <color indexed="81"/>
            <rFont val="Tahoma"/>
            <family val="2"/>
          </rPr>
          <t xml:space="preserve">
NOCA ATF SP4M-1, S-OIL ATF SP4M-1, 
Kia genuine ATF SP4M-1</t>
        </r>
      </text>
    </comment>
  </commentList>
</comments>
</file>

<file path=xl/sharedStrings.xml><?xml version="1.0" encoding="utf-8"?>
<sst xmlns="http://schemas.openxmlformats.org/spreadsheetml/2006/main" count="1716" uniqueCount="284">
  <si>
    <t>RESUMEN DE PRECIOS - PLAN DE MANTENIMIENTO 5K</t>
  </si>
  <si>
    <t>Descuento</t>
  </si>
  <si>
    <t>Tipo de cambio</t>
  </si>
  <si>
    <t>FULL SERVICE</t>
  </si>
  <si>
    <t>UNLIMITED</t>
  </si>
  <si>
    <t>N°</t>
  </si>
  <si>
    <t>Modelo</t>
  </si>
  <si>
    <t>Motor</t>
  </si>
  <si>
    <t>Transmisión</t>
  </si>
  <si>
    <t>Frecuencia</t>
  </si>
  <si>
    <t>Combustible</t>
  </si>
  <si>
    <t>5K</t>
  </si>
  <si>
    <t>10K</t>
  </si>
  <si>
    <t>15K</t>
  </si>
  <si>
    <t>5K - 20K</t>
  </si>
  <si>
    <t>5K - 30K</t>
  </si>
  <si>
    <t>20K - 50K</t>
  </si>
  <si>
    <t>30K - 50K</t>
  </si>
  <si>
    <t>30K - 60K</t>
  </si>
  <si>
    <t>40K - 60K</t>
  </si>
  <si>
    <t>Picanto (JA)</t>
  </si>
  <si>
    <t>MT</t>
  </si>
  <si>
    <t>Gasolina</t>
  </si>
  <si>
    <t>AT</t>
  </si>
  <si>
    <t>Picanto JA (PE)</t>
  </si>
  <si>
    <t>Soluto (AB)</t>
  </si>
  <si>
    <t>GLP</t>
  </si>
  <si>
    <t>GNV</t>
  </si>
  <si>
    <t>Rio (SC)</t>
  </si>
  <si>
    <t>Cerato (BDm)</t>
  </si>
  <si>
    <t>K3 (BL7m)</t>
  </si>
  <si>
    <t>Sonet (QY)</t>
  </si>
  <si>
    <t>CVT</t>
  </si>
  <si>
    <t>Sonet (QYc)</t>
  </si>
  <si>
    <t>Tasman (TK)</t>
  </si>
  <si>
    <t>Diesel</t>
  </si>
  <si>
    <t>Towner (PU) 2WD</t>
  </si>
  <si>
    <t>Towner (PU) 4WD</t>
  </si>
  <si>
    <t>K4000G 2.5 CRDi M/T 2WD</t>
  </si>
  <si>
    <t>RESUMEN DE PRECIOS - PLAN DE MANTENIMIENTO 10K</t>
  </si>
  <si>
    <t>Picanto (TA)</t>
  </si>
  <si>
    <t>Rio (UB)</t>
  </si>
  <si>
    <t>Cerato (YD)</t>
  </si>
  <si>
    <t>Carens (RP)</t>
  </si>
  <si>
    <t>Carens (KY)</t>
  </si>
  <si>
    <t>DCT</t>
  </si>
  <si>
    <t>Seltos (SP2i)</t>
  </si>
  <si>
    <t>Seltos (SP2c)</t>
  </si>
  <si>
    <t>Sportage (SL)</t>
  </si>
  <si>
    <t>Sportage (QL)</t>
  </si>
  <si>
    <t>Sportage (NQ5)</t>
  </si>
  <si>
    <t>Sorento (XM)</t>
  </si>
  <si>
    <t>Sorento (UM)</t>
  </si>
  <si>
    <t>Sorento (MQ4)</t>
  </si>
  <si>
    <t>Carnival (YP)</t>
  </si>
  <si>
    <t>Carnival (KA4)</t>
  </si>
  <si>
    <t>Quoris (KH) 3.8 - MY11</t>
  </si>
  <si>
    <t>RESUMEN DE PRECIOS - PLAN DE MANTENIMIENTO 15K</t>
  </si>
  <si>
    <t>15K - 45K</t>
  </si>
  <si>
    <t>15K - 60K</t>
  </si>
  <si>
    <t>Sportage NQ5 (HEV)</t>
  </si>
  <si>
    <t>HEV</t>
  </si>
  <si>
    <t>Niro (DE HEV)</t>
  </si>
  <si>
    <t>Niro (SG2 HEV)</t>
  </si>
  <si>
    <t>Niro (SG2 EV)</t>
  </si>
  <si>
    <t>EV</t>
  </si>
  <si>
    <t>EV5 (OV)</t>
  </si>
  <si>
    <t>EV9 (MV)</t>
  </si>
  <si>
    <t>MV</t>
  </si>
  <si>
    <t>5K - 10K</t>
  </si>
  <si>
    <t>15K - 20K</t>
  </si>
  <si>
    <t>25K - 30K</t>
  </si>
  <si>
    <t>35K - 40K</t>
  </si>
  <si>
    <t>45K - 50K</t>
  </si>
  <si>
    <t>55K - 60K</t>
  </si>
  <si>
    <t>65K - 70K</t>
  </si>
  <si>
    <t>75K - 80K</t>
  </si>
  <si>
    <t>85K - 90K</t>
  </si>
  <si>
    <t>95K - 100K</t>
  </si>
  <si>
    <t>10K - 15K</t>
  </si>
  <si>
    <t>20K - 25K</t>
  </si>
  <si>
    <t>30K - 35K</t>
  </si>
  <si>
    <t>40K - 45K</t>
  </si>
  <si>
    <t>50K - 55K</t>
  </si>
  <si>
    <t>60K - 65K</t>
  </si>
  <si>
    <t>70K - 75K</t>
  </si>
  <si>
    <t>80K - 85K</t>
  </si>
  <si>
    <t>90K - 95K</t>
  </si>
  <si>
    <t>10K - 20K</t>
  </si>
  <si>
    <t>20K - 30K</t>
  </si>
  <si>
    <t>30K - 40K</t>
  </si>
  <si>
    <t>40K - 50K</t>
  </si>
  <si>
    <t>50K - 60K</t>
  </si>
  <si>
    <t>60K - 70K</t>
  </si>
  <si>
    <t>70K - 80K</t>
  </si>
  <si>
    <t>80K - 90K</t>
  </si>
  <si>
    <t>90K - 100K</t>
  </si>
  <si>
    <t>15K - 30K</t>
  </si>
  <si>
    <t>30K - 45K</t>
  </si>
  <si>
    <t>45K - 60K</t>
  </si>
  <si>
    <t>60K - 75K</t>
  </si>
  <si>
    <t>75K - 90K</t>
  </si>
  <si>
    <t>90K - 105K</t>
  </si>
  <si>
    <t>105K - 120K</t>
  </si>
  <si>
    <t>Eléctrico</t>
  </si>
  <si>
    <t>Sonet (QYi)</t>
  </si>
  <si>
    <t>Sorento (UM) AWD</t>
  </si>
  <si>
    <t>45K - 75K</t>
  </si>
  <si>
    <t>60K - 90K</t>
  </si>
  <si>
    <t>75K - 105K</t>
  </si>
  <si>
    <t>MODELO</t>
  </si>
  <si>
    <t>Sportage NQ5 (HEV) 1.6 DCT - MY25</t>
  </si>
  <si>
    <t>Gasolina HEV 1.6 (GDI Gamma II )</t>
  </si>
  <si>
    <t>Año</t>
  </si>
  <si>
    <t>2025 -&gt;</t>
  </si>
  <si>
    <t>PVP SVC 1K</t>
  </si>
  <si>
    <t>PVP SVC 15K</t>
  </si>
  <si>
    <t>PVP SVC 30K</t>
  </si>
  <si>
    <t>PVP SVC 45K</t>
  </si>
  <si>
    <t>PVP SVC 60K</t>
  </si>
  <si>
    <t>PVP SVC 75K</t>
  </si>
  <si>
    <t>PVP SVC 90K</t>
  </si>
  <si>
    <t>PVP SVC 105K</t>
  </si>
  <si>
    <t>PVP SVC 120K</t>
  </si>
  <si>
    <t>COSTO SVC (con IGV)</t>
  </si>
  <si>
    <t>meses --&gt;</t>
  </si>
  <si>
    <t>MANO DE OBRA</t>
  </si>
  <si>
    <t>km --&gt;</t>
  </si>
  <si>
    <t>1 000</t>
  </si>
  <si>
    <t>15 000</t>
  </si>
  <si>
    <t>30 000</t>
  </si>
  <si>
    <t>45 000</t>
  </si>
  <si>
    <t>60 000</t>
  </si>
  <si>
    <t>75 000</t>
  </si>
  <si>
    <t>90 000</t>
  </si>
  <si>
    <t>105 000</t>
  </si>
  <si>
    <t>120 000</t>
  </si>
  <si>
    <t>RETORNAR</t>
  </si>
  <si>
    <t>Nro</t>
  </si>
  <si>
    <t>OPERACIÓN</t>
  </si>
  <si>
    <t>TIEMPOS  (H-H)</t>
  </si>
  <si>
    <t>Sustitución de filtro de aceite / vaciado y llenado aceite motor</t>
  </si>
  <si>
    <t>Verificar DTC con KDS</t>
  </si>
  <si>
    <t>Sustitución de filtro de aire</t>
  </si>
  <si>
    <t>Sustitución  filtro de combustible.</t>
  </si>
  <si>
    <t>Sustitución de filtro de aire de tanque de combustible</t>
  </si>
  <si>
    <t>Sustitucion de líquido de frenos</t>
  </si>
  <si>
    <t>Sustitucion de liquido del actuador del embrague del motor</t>
  </si>
  <si>
    <t>Sustitución de refrigerante</t>
  </si>
  <si>
    <t>Sustitución de Correa del HSG (motor de arranque y generador híbridos)</t>
  </si>
  <si>
    <t>Revisiones de servicio (1)</t>
  </si>
  <si>
    <t>Revisión de frenos (2)</t>
  </si>
  <si>
    <t>Revisión de admisión y circulación de gases (3)</t>
  </si>
  <si>
    <t>Revisión de sistemas de tanque de combustible (4)</t>
  </si>
  <si>
    <t>Revisión de nivel y condición de aceite de transmisión de embrague doble DCT</t>
  </si>
  <si>
    <t>Revisión desgaste y condición de neumáticos - rotación</t>
  </si>
  <si>
    <t>HH total x Servicio</t>
  </si>
  <si>
    <t>MO total x Servicio (S/.)</t>
  </si>
  <si>
    <t>REPUESTOS</t>
  </si>
  <si>
    <t>CODIGO</t>
  </si>
  <si>
    <t>DESCRIPCION</t>
  </si>
  <si>
    <t>CANTIDADES</t>
  </si>
  <si>
    <t>263502M000</t>
  </si>
  <si>
    <t>Elemento filtro de aceite</t>
  </si>
  <si>
    <t>Arandela de tapón de cárter</t>
  </si>
  <si>
    <t>28113P0400</t>
  </si>
  <si>
    <t>Filtro de aire</t>
  </si>
  <si>
    <t>31454L1300</t>
  </si>
  <si>
    <t>Filtro de aire de tanque de combustible</t>
  </si>
  <si>
    <t>31112L1000</t>
  </si>
  <si>
    <t>Filtro de combustible</t>
  </si>
  <si>
    <t>2521203HA0</t>
  </si>
  <si>
    <t>Correa HSG (motor de arranque y generador híbridos)</t>
  </si>
  <si>
    <t>-</t>
  </si>
  <si>
    <t>Repuesto x Servicio (S/.)</t>
  </si>
  <si>
    <t>LUBRICANTES Y FLUIDOS</t>
  </si>
  <si>
    <t xml:space="preserve">Aceite de Motor Sintético: Helix HX8 5W30 (lts) </t>
  </si>
  <si>
    <t>LIQUIDOFRENO</t>
  </si>
  <si>
    <t>Líquido de frenos DOT4 (lts)</t>
  </si>
  <si>
    <t>LIQUIDOREFRI</t>
  </si>
  <si>
    <t>Líquido Refrigerante</t>
  </si>
  <si>
    <t>LIQUIDO ACTUADOR EMBRAGUE</t>
  </si>
  <si>
    <t>Lubricantes y Fluidos x Servicio (S/.)</t>
  </si>
  <si>
    <t>MATERIALES</t>
  </si>
  <si>
    <t>Materiales (S/.)</t>
  </si>
  <si>
    <t>Detalle de Operaciones:</t>
  </si>
  <si>
    <t>(1)  REVISIONES DE SERVICIO</t>
  </si>
  <si>
    <t>EN EL VEHÍCULO</t>
  </si>
  <si>
    <t>Actualizar indicador de mantenimiento</t>
  </si>
  <si>
    <t>DEBAJO DEL</t>
  </si>
  <si>
    <t>Verificar:</t>
  </si>
  <si>
    <t>ALREDEDOR</t>
  </si>
  <si>
    <t>Verificar ajustar:</t>
  </si>
  <si>
    <t>BAJO EL CAPÓ</t>
  </si>
  <si>
    <t>Verificar y ajustar:</t>
  </si>
  <si>
    <t>VEHÍCULO</t>
  </si>
  <si>
    <t>Fugas en carter y caja</t>
  </si>
  <si>
    <t>DEL VEHICULO</t>
  </si>
  <si>
    <t>Estado y presión de neumáticos</t>
  </si>
  <si>
    <t>Nivel de aceite motor</t>
  </si>
  <si>
    <t>Bocina</t>
  </si>
  <si>
    <t>Fugas en sistema de refrigeración</t>
  </si>
  <si>
    <t>Faros y micas de luces</t>
  </si>
  <si>
    <t>Nivel de limpiaparabrisas</t>
  </si>
  <si>
    <t>Eyectores limpiaparabrisas</t>
  </si>
  <si>
    <t>Fugas en amortiguadores</t>
  </si>
  <si>
    <t>Plumillas de limpiaparabrisas</t>
  </si>
  <si>
    <t>Nivel y condición de refrigerante</t>
  </si>
  <si>
    <t>Luces / alumbrado / señalización</t>
  </si>
  <si>
    <t>Fugas en circuito de frenos</t>
  </si>
  <si>
    <t>Tapa de llenado de combustible y manguera de vapor</t>
  </si>
  <si>
    <t>Nivel de líquido de frenos</t>
  </si>
  <si>
    <t>Juego libre del timón</t>
  </si>
  <si>
    <t>Fugas en sistema de combustible</t>
  </si>
  <si>
    <t>Fugas en circuitos de frenos</t>
  </si>
  <si>
    <t>Operación A/C</t>
  </si>
  <si>
    <t>Elementos de dirección</t>
  </si>
  <si>
    <t>Fajas de accesorios y/o faja HSG</t>
  </si>
  <si>
    <t>Filtro de Habitáculo</t>
  </si>
  <si>
    <t>Tubo de escape y sus soportes</t>
  </si>
  <si>
    <t>Revisión de filtro de aire y estado de revestimiento de goma</t>
  </si>
  <si>
    <t>Cinturones de seguridad</t>
  </si>
  <si>
    <t>Elementos de suspensión</t>
  </si>
  <si>
    <t>Estado y carga de batería de 12V.</t>
  </si>
  <si>
    <t>Ejes y palieres</t>
  </si>
  <si>
    <t>(2)  REVISION DE FRENOS</t>
  </si>
  <si>
    <t>(3)  REVISION DE ADMISION Y CIRCULACION DE GASES</t>
  </si>
  <si>
    <t>(4)  REVISION DE SISTEMA DE TANQUE DE COMBUSTIBLE</t>
  </si>
  <si>
    <t>Desgaste discos y pastillas</t>
  </si>
  <si>
    <t>Mangueras de vacío de motor</t>
  </si>
  <si>
    <t>Mangueras de vapor de combustible</t>
  </si>
  <si>
    <t>Desgaste tambores y zapatas (Si equipa)</t>
  </si>
  <si>
    <t>Mangueras de ventilación de carter (PCV)</t>
  </si>
  <si>
    <t>Fugas y ajuste de abrazaderas</t>
  </si>
  <si>
    <t>Fugas en calipers, bombines y mangueras</t>
  </si>
  <si>
    <t>Tapa de tanque de combustible y manguera de vapor</t>
  </si>
  <si>
    <t>Limpiar:</t>
  </si>
  <si>
    <t>Inspección:</t>
  </si>
  <si>
    <t>Cámara de aceleración</t>
  </si>
  <si>
    <t>Freno de estacionamiento</t>
  </si>
  <si>
    <t>(5)  OBSERVACIONES</t>
  </si>
  <si>
    <t>Sustitucón de bujias, cambiar cada 150 000 kilometros o a los 120 meses</t>
  </si>
  <si>
    <t>Niro (SG2 HEV) 1.6 DCT - MY22</t>
  </si>
  <si>
    <t>Gasolina HEV 1.6 (Kappa PE GDI )</t>
  </si>
  <si>
    <t>2022 -&gt;</t>
  </si>
  <si>
    <t>28113AT100</t>
  </si>
  <si>
    <t>31174AT100</t>
  </si>
  <si>
    <t>2521208HA0</t>
  </si>
  <si>
    <t>Niro (DE HEV) 1.6 DCT - MY21</t>
  </si>
  <si>
    <t>Gasolina HEV 1.6 (Kappa GDI )</t>
  </si>
  <si>
    <t>2021 -&gt;</t>
  </si>
  <si>
    <t>28113G2100</t>
  </si>
  <si>
    <t>31453G2100</t>
  </si>
  <si>
    <t>31112C3500</t>
  </si>
  <si>
    <t>Niro (SG2 EV) - MY24</t>
  </si>
  <si>
    <t>Eléctrico EV (EM16)</t>
  </si>
  <si>
    <t>2024 -&gt;</t>
  </si>
  <si>
    <t>Inspección del líquido del engranaje de reducción</t>
  </si>
  <si>
    <t>Inspección de árboles de la transmisión y fundas</t>
  </si>
  <si>
    <t>Inspección del sistema de refrigeración</t>
  </si>
  <si>
    <t>Inspección del refrigerante/compresor del aire acondicionado (si está equipado)</t>
  </si>
  <si>
    <t>Remplazo del filtro del aire del control del climatizador</t>
  </si>
  <si>
    <t>Revisión de lineas de refrigeración (3)</t>
  </si>
  <si>
    <t>Revisión de elementos para abastecimiento de carga eléctrica (4)</t>
  </si>
  <si>
    <t>97133AO000</t>
  </si>
  <si>
    <t>Filtro de aire del control del climatizador</t>
  </si>
  <si>
    <t>Fugas del engranaje de reducción</t>
  </si>
  <si>
    <t>(3)  REVISION DE LINEAS DE REFRIGERACION</t>
  </si>
  <si>
    <t>(4)  OBSERVACIONES</t>
  </si>
  <si>
    <t>Mangueras de sistema de refrigeración</t>
  </si>
  <si>
    <t>Tapa de abastecimiento de carga eléctrica de alta tensión</t>
  </si>
  <si>
    <t>Abrazaderas de las mangueras del sistema de refrigeración</t>
  </si>
  <si>
    <t>Conector de carga de alta tensión-lado del vehículo</t>
  </si>
  <si>
    <t>Cable y conector de interface de carga</t>
  </si>
  <si>
    <t>EV5 (OV) - MY25</t>
  </si>
  <si>
    <t>Sustitución del líquido del engranaje de reducción</t>
  </si>
  <si>
    <t>97133R4000</t>
  </si>
  <si>
    <t>SKP214145</t>
  </si>
  <si>
    <t>Líquido del engranaje de reducción</t>
  </si>
  <si>
    <t>EV9 (MV) - MY25</t>
  </si>
  <si>
    <t>Inspección de ejes impulsores y fundas</t>
  </si>
  <si>
    <t>Inspección del sistema de refrigeración (Motores Eléctricos y Batería HV)</t>
  </si>
  <si>
    <t>Inspección líquido de engranaje de reducción</t>
  </si>
  <si>
    <t>SK ATF SP4M-1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</si>
</sst>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$-409]#,##0.00"/>
    <numFmt numFmtId="166" formatCode="&quot;S/&quot;#,##0.00"/>
    <numFmt numFmtId="167" formatCode="&quot;S/&quot;#,##0.0"/>
  </numFmts>
  <fonts count="3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30549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4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rgb="FFA50021"/>
      <name val="Aptos Narrow"/>
      <family val="2"/>
      <scheme val="minor"/>
    </font>
    <font>
      <b/>
      <sz val="9"/>
      <color rgb="FF9C5700"/>
      <name val="Aptos Narrow"/>
      <family val="2"/>
      <scheme val="minor"/>
    </font>
    <font>
      <b/>
      <i/>
      <sz val="11"/>
      <color theme="4" tint="-0.499984740745262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11"/>
      <color theme="1" tint="0.14999847407452621"/>
      <name val="Aptos Narrow"/>
      <family val="2"/>
      <scheme val="minor"/>
    </font>
    <font>
      <b/>
      <sz val="9"/>
      <color theme="8" tint="-0.249977111117893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b/>
      <sz val="9"/>
      <color rgb="FF00339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i/>
      <u/>
      <sz val="9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BDC3C7"/>
      </right>
      <top style="thin">
        <color auto="1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auto="1"/>
      </top>
      <bottom style="thin">
        <color rgb="FFBDC3C7"/>
      </bottom>
      <diagonal/>
    </border>
    <border>
      <left style="thin">
        <color rgb="FFBDC3C7"/>
      </left>
      <right style="thin">
        <color indexed="64"/>
      </right>
      <top style="thin">
        <color auto="1"/>
      </top>
      <bottom style="thin">
        <color rgb="FFBDC3C7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rgb="FFBDC3C7"/>
      </bottom>
      <diagonal/>
    </border>
    <border>
      <left/>
      <right style="thin">
        <color rgb="FFBDC3C7"/>
      </right>
      <top style="thin">
        <color auto="1"/>
      </top>
      <bottom style="thin">
        <color rgb="FFBDC3C7"/>
      </bottom>
      <diagonal/>
    </border>
    <border>
      <left style="thin">
        <color auto="1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rgb="FFBDC3C7"/>
      </right>
      <top style="thin">
        <color rgb="FFBDC3C7"/>
      </top>
      <bottom style="thin">
        <color auto="1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indexed="64"/>
      </right>
      <top/>
      <bottom/>
      <diagonal/>
    </border>
    <border>
      <left/>
      <right style="thin">
        <color rgb="FFBDC3C7"/>
      </right>
      <top style="thin">
        <color auto="1"/>
      </top>
      <bottom/>
      <diagonal/>
    </border>
    <border>
      <left style="thin">
        <color rgb="FFBDC3C7"/>
      </left>
      <right/>
      <top style="thin">
        <color auto="1"/>
      </top>
      <bottom style="thin">
        <color rgb="FFBDC3C7"/>
      </bottom>
      <diagonal/>
    </border>
    <border>
      <left/>
      <right style="thin">
        <color indexed="64"/>
      </right>
      <top style="thin">
        <color rgb="FFBDC3C7"/>
      </top>
      <bottom/>
      <diagonal/>
    </border>
    <border>
      <left/>
      <right style="thin">
        <color indexed="64"/>
      </right>
      <top style="thin">
        <color rgb="FFBDC3C7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 tint="-0.249977111117893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1" tint="0.499984740745262"/>
      </bottom>
      <diagonal/>
    </border>
    <border>
      <left/>
      <right/>
      <top style="thin">
        <color theme="0" tint="-0.499984740745262"/>
      </top>
      <bottom style="hair">
        <color theme="1" tint="0.499984740745262"/>
      </bottom>
      <diagonal/>
    </border>
    <border>
      <left style="thin">
        <color theme="0" tint="-0.499984740745262"/>
      </left>
      <right style="dashed">
        <color theme="1" tint="0.499984740745262"/>
      </right>
      <top/>
      <bottom style="hair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/>
      <bottom style="hair">
        <color theme="1" tint="0.499984740745262"/>
      </bottom>
      <diagonal/>
    </border>
    <border>
      <left style="dashed">
        <color theme="1" tint="0.499984740745262"/>
      </left>
      <right style="thin">
        <color theme="0" tint="-0.249977111117893"/>
      </right>
      <top/>
      <bottom style="hair">
        <color theme="1" tint="0.499984740745262"/>
      </bottom>
      <diagonal/>
    </border>
    <border>
      <left style="thin">
        <color theme="0" tint="-0.499984740745262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499984740745262"/>
      </left>
      <right style="dashed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499984740745262"/>
      </left>
      <right style="thin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ashed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1" tint="0.499984740745262"/>
      </left>
      <right/>
      <top/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dashed">
        <color theme="1" tint="0.499984740745262"/>
      </left>
      <right style="thin">
        <color theme="0" tint="-0.249977111117893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thin">
        <color theme="1" tint="0.499984740745262"/>
      </right>
      <top style="hair">
        <color theme="1" tint="0.499984740745262"/>
      </top>
      <bottom/>
      <diagonal/>
    </border>
    <border>
      <left style="dashed">
        <color theme="1" tint="0.499984740745262"/>
      </left>
      <right style="dashed">
        <color theme="1" tint="0.499984740745262"/>
      </right>
      <top style="hair">
        <color theme="1" tint="0.499984740745262"/>
      </top>
      <bottom/>
      <diagonal/>
    </border>
    <border>
      <left style="dashed">
        <color theme="1" tint="0.499984740745262"/>
      </left>
      <right style="thin">
        <color theme="0" tint="-0.249977111117893"/>
      </right>
      <top style="hair">
        <color theme="1" tint="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249977111117893"/>
      </right>
      <top style="thin">
        <color theme="0" tint="-0.499984740745262"/>
      </top>
      <bottom/>
      <diagonal/>
    </border>
    <border>
      <left style="dashed">
        <color theme="1" tint="0.499984740745262"/>
      </left>
      <right/>
      <top/>
      <bottom style="hair">
        <color theme="1" tint="0.499984740745262"/>
      </bottom>
      <diagonal/>
    </border>
    <border>
      <left/>
      <right style="thin">
        <color theme="0" tint="-0.249977111117893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0" fontId="1" fillId="3" borderId="0" xfId="0" applyFont="1" applyFill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/>
    <xf numFmtId="164" fontId="0" fillId="6" borderId="11" xfId="0" applyNumberFormat="1" applyFill="1" applyBorder="1"/>
    <xf numFmtId="0" fontId="0" fillId="6" borderId="11" xfId="0" applyFill="1" applyBorder="1" applyAlignment="1">
      <alignment horizontal="center"/>
    </xf>
    <xf numFmtId="165" fontId="0" fillId="7" borderId="13" xfId="0" applyNumberFormat="1" applyFill="1" applyBorder="1"/>
    <xf numFmtId="165" fontId="0" fillId="7" borderId="12" xfId="0" applyNumberFormat="1" applyFill="1" applyBorder="1"/>
    <xf numFmtId="165" fontId="0" fillId="7" borderId="0" xfId="0" applyNumberFormat="1" applyFill="1"/>
    <xf numFmtId="0" fontId="0" fillId="0" borderId="10" xfId="0" applyBorder="1" applyAlignment="1">
      <alignment horizontal="center"/>
    </xf>
    <xf numFmtId="0" fontId="0" fillId="0" borderId="11" xfId="0" applyBorder="1"/>
    <xf numFmtId="164" fontId="0" fillId="0" borderId="11" xfId="0" applyNumberFormat="1" applyBorder="1"/>
    <xf numFmtId="0" fontId="0" fillId="0" borderId="11" xfId="0" applyBorder="1" applyAlignment="1">
      <alignment horizontal="center"/>
    </xf>
    <xf numFmtId="165" fontId="0" fillId="0" borderId="13" xfId="0" applyNumberFormat="1" applyBorder="1"/>
    <xf numFmtId="165" fontId="0" fillId="0" borderId="12" xfId="0" applyNumberFormat="1" applyBorder="1"/>
    <xf numFmtId="165" fontId="0" fillId="0" borderId="0" xfId="0" applyNumberFormat="1"/>
    <xf numFmtId="0" fontId="0" fillId="6" borderId="14" xfId="0" applyFill="1" applyBorder="1" applyAlignment="1">
      <alignment horizontal="center"/>
    </xf>
    <xf numFmtId="0" fontId="0" fillId="6" borderId="15" xfId="0" applyFill="1" applyBorder="1"/>
    <xf numFmtId="164" fontId="0" fillId="6" borderId="15" xfId="0" applyNumberFormat="1" applyFill="1" applyBorder="1"/>
    <xf numFmtId="0" fontId="0" fillId="6" borderId="15" xfId="0" applyFill="1" applyBorder="1" applyAlignment="1">
      <alignment horizontal="center"/>
    </xf>
    <xf numFmtId="165" fontId="0" fillId="7" borderId="16" xfId="0" applyNumberFormat="1" applyFill="1" applyBorder="1"/>
    <xf numFmtId="165" fontId="0" fillId="7" borderId="18" xfId="0" applyNumberFormat="1" applyFill="1" applyBorder="1"/>
    <xf numFmtId="165" fontId="0" fillId="7" borderId="17" xfId="0" applyNumberFormat="1" applyFill="1" applyBorder="1"/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165" fontId="0" fillId="7" borderId="24" xfId="0" applyNumberFormat="1" applyFill="1" applyBorder="1"/>
    <xf numFmtId="165" fontId="0" fillId="7" borderId="25" xfId="0" applyNumberFormat="1" applyFill="1" applyBorder="1"/>
    <xf numFmtId="0" fontId="3" fillId="4" borderId="12" xfId="0" applyFont="1" applyFill="1" applyBorder="1" applyAlignment="1">
      <alignment horizontal="center"/>
    </xf>
    <xf numFmtId="165" fontId="0" fillId="0" borderId="16" xfId="0" applyNumberFormat="1" applyBorder="1"/>
    <xf numFmtId="165" fontId="0" fillId="0" borderId="17" xfId="0" applyNumberFormat="1" applyBorder="1"/>
    <xf numFmtId="165" fontId="0" fillId="0" borderId="18" xfId="0" applyNumberFormat="1" applyBorder="1"/>
    <xf numFmtId="0" fontId="3" fillId="4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166" fontId="6" fillId="9" borderId="0" xfId="0" applyNumberFormat="1" applyFont="1" applyFill="1" applyAlignment="1">
      <alignment horizontal="center"/>
    </xf>
    <xf numFmtId="0" fontId="12" fillId="10" borderId="0" xfId="0" applyFont="1" applyFill="1"/>
    <xf numFmtId="166" fontId="6" fillId="0" borderId="0" xfId="0" applyNumberFormat="1" applyFont="1"/>
    <xf numFmtId="0" fontId="13" fillId="0" borderId="0" xfId="0" applyFont="1"/>
    <xf numFmtId="0" fontId="6" fillId="11" borderId="26" xfId="0" applyFont="1" applyFill="1" applyBorder="1" applyAlignment="1">
      <alignment horizontal="right"/>
    </xf>
    <xf numFmtId="0" fontId="14" fillId="11" borderId="27" xfId="0" applyFont="1" applyFill="1" applyBorder="1" applyAlignment="1">
      <alignment horizontal="center"/>
    </xf>
    <xf numFmtId="0" fontId="14" fillId="11" borderId="28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/>
    </xf>
    <xf numFmtId="0" fontId="15" fillId="0" borderId="0" xfId="0" applyFont="1"/>
    <xf numFmtId="0" fontId="14" fillId="11" borderId="30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12" borderId="33" xfId="0" applyFont="1" applyFill="1" applyBorder="1" applyAlignment="1">
      <alignment horizontal="center"/>
    </xf>
    <xf numFmtId="0" fontId="17" fillId="12" borderId="34" xfId="0" applyFont="1" applyFill="1" applyBorder="1" applyAlignment="1">
      <alignment horizontal="center"/>
    </xf>
    <xf numFmtId="0" fontId="17" fillId="12" borderId="35" xfId="0" applyFont="1" applyFill="1" applyBorder="1"/>
    <xf numFmtId="0" fontId="17" fillId="12" borderId="36" xfId="0" applyFont="1" applyFill="1" applyBorder="1"/>
    <xf numFmtId="0" fontId="17" fillId="12" borderId="37" xfId="0" applyFont="1" applyFill="1" applyBorder="1"/>
    <xf numFmtId="1" fontId="6" fillId="9" borderId="38" xfId="0" applyNumberFormat="1" applyFont="1" applyFill="1" applyBorder="1" applyAlignment="1">
      <alignment horizontal="center"/>
    </xf>
    <xf numFmtId="0" fontId="6" fillId="9" borderId="39" xfId="0" applyFont="1" applyFill="1" applyBorder="1"/>
    <xf numFmtId="0" fontId="18" fillId="9" borderId="39" xfId="0" applyFont="1" applyFill="1" applyBorder="1" applyAlignment="1">
      <alignment horizontal="center"/>
    </xf>
    <xf numFmtId="164" fontId="6" fillId="9" borderId="40" xfId="0" applyNumberFormat="1" applyFont="1" applyFill="1" applyBorder="1" applyAlignment="1">
      <alignment horizontal="center"/>
    </xf>
    <xf numFmtId="164" fontId="6" fillId="9" borderId="41" xfId="0" applyNumberFormat="1" applyFont="1" applyFill="1" applyBorder="1" applyAlignment="1">
      <alignment horizontal="center"/>
    </xf>
    <xf numFmtId="164" fontId="6" fillId="9" borderId="42" xfId="0" applyNumberFormat="1" applyFont="1" applyFill="1" applyBorder="1" applyAlignment="1">
      <alignment horizontal="center"/>
    </xf>
    <xf numFmtId="0" fontId="6" fillId="9" borderId="0" xfId="0" applyFont="1" applyFill="1"/>
    <xf numFmtId="1" fontId="6" fillId="9" borderId="43" xfId="0" applyNumberFormat="1" applyFont="1" applyFill="1" applyBorder="1" applyAlignment="1">
      <alignment horizontal="center"/>
    </xf>
    <xf numFmtId="0" fontId="6" fillId="9" borderId="44" xfId="0" applyFont="1" applyFill="1" applyBorder="1"/>
    <xf numFmtId="0" fontId="18" fillId="9" borderId="44" xfId="0" applyFont="1" applyFill="1" applyBorder="1" applyAlignment="1">
      <alignment horizontal="center"/>
    </xf>
    <xf numFmtId="164" fontId="19" fillId="11" borderId="45" xfId="0" applyNumberFormat="1" applyFont="1" applyFill="1" applyBorder="1" applyAlignment="1">
      <alignment horizontal="center"/>
    </xf>
    <xf numFmtId="164" fontId="19" fillId="11" borderId="46" xfId="0" applyNumberFormat="1" applyFont="1" applyFill="1" applyBorder="1" applyAlignment="1">
      <alignment horizontal="center"/>
    </xf>
    <xf numFmtId="164" fontId="19" fillId="11" borderId="47" xfId="0" applyNumberFormat="1" applyFont="1" applyFill="1" applyBorder="1" applyAlignment="1">
      <alignment horizontal="center"/>
    </xf>
    <xf numFmtId="167" fontId="19" fillId="11" borderId="45" xfId="0" applyNumberFormat="1" applyFont="1" applyFill="1" applyBorder="1" applyAlignment="1">
      <alignment horizontal="center"/>
    </xf>
    <xf numFmtId="167" fontId="19" fillId="11" borderId="48" xfId="0" applyNumberFormat="1" applyFont="1" applyFill="1" applyBorder="1" applyAlignment="1">
      <alignment horizontal="center"/>
    </xf>
    <xf numFmtId="167" fontId="19" fillId="11" borderId="49" xfId="0" applyNumberFormat="1" applyFont="1" applyFill="1" applyBorder="1" applyAlignment="1">
      <alignment horizontal="center"/>
    </xf>
    <xf numFmtId="167" fontId="19" fillId="11" borderId="46" xfId="0" applyNumberFormat="1" applyFont="1" applyFill="1" applyBorder="1" applyAlignment="1">
      <alignment horizontal="center"/>
    </xf>
    <xf numFmtId="167" fontId="19" fillId="11" borderId="47" xfId="0" applyNumberFormat="1" applyFont="1" applyFill="1" applyBorder="1" applyAlignment="1">
      <alignment horizontal="center"/>
    </xf>
    <xf numFmtId="49" fontId="19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right"/>
    </xf>
    <xf numFmtId="0" fontId="6" fillId="0" borderId="50" xfId="0" applyFont="1" applyBorder="1"/>
    <xf numFmtId="49" fontId="15" fillId="0" borderId="31" xfId="0" applyNumberFormat="1" applyFont="1" applyBorder="1"/>
    <xf numFmtId="0" fontId="6" fillId="0" borderId="31" xfId="0" applyFont="1" applyBorder="1"/>
    <xf numFmtId="0" fontId="6" fillId="0" borderId="32" xfId="0" applyFont="1" applyBorder="1"/>
    <xf numFmtId="49" fontId="17" fillId="12" borderId="26" xfId="0" applyNumberFormat="1" applyFont="1" applyFill="1" applyBorder="1" applyAlignment="1">
      <alignment horizontal="center"/>
    </xf>
    <xf numFmtId="0" fontId="17" fillId="12" borderId="36" xfId="0" applyFont="1" applyFill="1" applyBorder="1" applyAlignment="1">
      <alignment horizontal="center"/>
    </xf>
    <xf numFmtId="0" fontId="20" fillId="9" borderId="51" xfId="0" applyFont="1" applyFill="1" applyBorder="1" applyAlignment="1">
      <alignment horizontal="center"/>
    </xf>
    <xf numFmtId="0" fontId="6" fillId="0" borderId="44" xfId="0" applyFont="1" applyBorder="1"/>
    <xf numFmtId="2" fontId="6" fillId="0" borderId="52" xfId="0" applyNumberFormat="1" applyFont="1" applyBorder="1"/>
    <xf numFmtId="1" fontId="6" fillId="0" borderId="41" xfId="0" applyNumberFormat="1" applyFont="1" applyBorder="1" applyAlignment="1">
      <alignment horizontal="center"/>
    </xf>
    <xf numFmtId="1" fontId="6" fillId="0" borderId="42" xfId="0" applyNumberFormat="1" applyFont="1" applyBorder="1" applyAlignment="1">
      <alignment horizontal="center"/>
    </xf>
    <xf numFmtId="0" fontId="6" fillId="9" borderId="53" xfId="0" applyFont="1" applyFill="1" applyBorder="1" applyAlignment="1">
      <alignment horizontal="center"/>
    </xf>
    <xf numFmtId="0" fontId="6" fillId="0" borderId="54" xfId="0" applyFont="1" applyBorder="1"/>
    <xf numFmtId="2" fontId="6" fillId="0" borderId="55" xfId="0" applyNumberFormat="1" applyFont="1" applyBorder="1"/>
    <xf numFmtId="1" fontId="6" fillId="0" borderId="56" xfId="0" applyNumberFormat="1" applyFont="1" applyBorder="1" applyAlignment="1">
      <alignment horizontal="center"/>
    </xf>
    <xf numFmtId="1" fontId="6" fillId="0" borderId="57" xfId="0" applyNumberFormat="1" applyFont="1" applyBorder="1" applyAlignment="1">
      <alignment horizontal="center"/>
    </xf>
    <xf numFmtId="49" fontId="6" fillId="9" borderId="53" xfId="0" applyNumberFormat="1" applyFont="1" applyFill="1" applyBorder="1" applyAlignment="1">
      <alignment horizontal="center"/>
    </xf>
    <xf numFmtId="1" fontId="6" fillId="9" borderId="56" xfId="0" applyNumberFormat="1" applyFont="1" applyFill="1" applyBorder="1" applyAlignment="1">
      <alignment horizontal="center"/>
    </xf>
    <xf numFmtId="49" fontId="6" fillId="9" borderId="58" xfId="0" applyNumberFormat="1" applyFont="1" applyFill="1" applyBorder="1" applyAlignment="1">
      <alignment horizontal="center"/>
    </xf>
    <xf numFmtId="0" fontId="6" fillId="0" borderId="59" xfId="0" applyFont="1" applyBorder="1"/>
    <xf numFmtId="2" fontId="6" fillId="0" borderId="60" xfId="0" applyNumberFormat="1" applyFont="1" applyBorder="1"/>
    <xf numFmtId="1" fontId="6" fillId="0" borderId="61" xfId="0" applyNumberFormat="1" applyFont="1" applyBorder="1" applyAlignment="1">
      <alignment horizontal="center"/>
    </xf>
    <xf numFmtId="1" fontId="6" fillId="9" borderId="61" xfId="0" applyNumberFormat="1" applyFont="1" applyFill="1" applyBorder="1" applyAlignment="1">
      <alignment horizontal="center"/>
    </xf>
    <xf numFmtId="1" fontId="6" fillId="0" borderId="62" xfId="0" applyNumberFormat="1" applyFont="1" applyBorder="1" applyAlignment="1">
      <alignment horizontal="center"/>
    </xf>
    <xf numFmtId="49" fontId="6" fillId="0" borderId="58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2" fontId="6" fillId="0" borderId="0" xfId="0" applyNumberFormat="1" applyFont="1"/>
    <xf numFmtId="2" fontId="6" fillId="0" borderId="50" xfId="0" applyNumberFormat="1" applyFont="1" applyBorder="1"/>
    <xf numFmtId="49" fontId="15" fillId="0" borderId="0" xfId="0" applyNumberFormat="1" applyFont="1"/>
    <xf numFmtId="49" fontId="17" fillId="12" borderId="63" xfId="0" applyNumberFormat="1" applyFont="1" applyFill="1" applyBorder="1" applyAlignment="1">
      <alignment horizontal="center"/>
    </xf>
    <xf numFmtId="0" fontId="17" fillId="12" borderId="64" xfId="0" applyFont="1" applyFill="1" applyBorder="1" applyAlignment="1">
      <alignment horizontal="center"/>
    </xf>
    <xf numFmtId="0" fontId="17" fillId="12" borderId="64" xfId="0" applyFont="1" applyFill="1" applyBorder="1"/>
    <xf numFmtId="0" fontId="17" fillId="12" borderId="65" xfId="0" applyFont="1" applyFill="1" applyBorder="1"/>
    <xf numFmtId="0" fontId="6" fillId="0" borderId="43" xfId="0" applyFont="1" applyBorder="1" applyAlignment="1">
      <alignment horizontal="center"/>
    </xf>
    <xf numFmtId="164" fontId="6" fillId="0" borderId="41" xfId="0" applyNumberFormat="1" applyFont="1" applyBorder="1" applyAlignment="1">
      <alignment horizontal="center"/>
    </xf>
    <xf numFmtId="164" fontId="6" fillId="0" borderId="66" xfId="0" applyNumberFormat="1" applyFont="1" applyBorder="1" applyAlignment="1">
      <alignment horizontal="center"/>
    </xf>
    <xf numFmtId="164" fontId="6" fillId="0" borderId="42" xfId="0" applyNumberFormat="1" applyFont="1" applyBorder="1" applyAlignment="1">
      <alignment horizontal="center"/>
    </xf>
    <xf numFmtId="49" fontId="6" fillId="0" borderId="43" xfId="0" applyNumberFormat="1" applyFont="1" applyBorder="1" applyAlignment="1">
      <alignment horizontal="center"/>
    </xf>
    <xf numFmtId="164" fontId="6" fillId="9" borderId="66" xfId="0" applyNumberFormat="1" applyFont="1" applyFill="1" applyBorder="1" applyAlignment="1">
      <alignment horizontal="center"/>
    </xf>
    <xf numFmtId="2" fontId="6" fillId="0" borderId="31" xfId="0" applyNumberFormat="1" applyFont="1" applyBorder="1"/>
    <xf numFmtId="2" fontId="6" fillId="0" borderId="32" xfId="0" applyNumberFormat="1" applyFont="1" applyBorder="1"/>
    <xf numFmtId="49" fontId="17" fillId="12" borderId="33" xfId="0" applyNumberFormat="1" applyFont="1" applyFill="1" applyBorder="1" applyAlignment="1">
      <alignment horizontal="center"/>
    </xf>
    <xf numFmtId="0" fontId="17" fillId="12" borderId="34" xfId="0" applyFont="1" applyFill="1" applyBorder="1"/>
    <xf numFmtId="0" fontId="17" fillId="12" borderId="67" xfId="0" applyFont="1" applyFill="1" applyBorder="1"/>
    <xf numFmtId="167" fontId="19" fillId="11" borderId="68" xfId="0" applyNumberFormat="1" applyFont="1" applyFill="1" applyBorder="1" applyAlignment="1">
      <alignment horizontal="center"/>
    </xf>
    <xf numFmtId="0" fontId="21" fillId="0" borderId="0" xfId="0" applyFont="1"/>
    <xf numFmtId="49" fontId="22" fillId="12" borderId="27" xfId="0" applyNumberFormat="1" applyFont="1" applyFill="1" applyBorder="1"/>
    <xf numFmtId="49" fontId="22" fillId="12" borderId="28" xfId="0" applyNumberFormat="1" applyFont="1" applyFill="1" applyBorder="1"/>
    <xf numFmtId="49" fontId="22" fillId="12" borderId="69" xfId="0" applyNumberFormat="1" applyFont="1" applyFill="1" applyBorder="1"/>
    <xf numFmtId="0" fontId="23" fillId="0" borderId="0" xfId="0" applyFont="1"/>
    <xf numFmtId="0" fontId="9" fillId="0" borderId="63" xfId="0" applyFont="1" applyBorder="1"/>
    <xf numFmtId="0" fontId="23" fillId="0" borderId="64" xfId="0" applyFont="1" applyBorder="1"/>
    <xf numFmtId="0" fontId="9" fillId="0" borderId="64" xfId="0" applyFont="1" applyBorder="1"/>
    <xf numFmtId="0" fontId="24" fillId="0" borderId="64" xfId="0" applyFont="1" applyBorder="1"/>
    <xf numFmtId="0" fontId="23" fillId="0" borderId="65" xfId="0" applyFont="1" applyBorder="1"/>
    <xf numFmtId="0" fontId="23" fillId="0" borderId="70" xfId="0" applyFont="1" applyBorder="1"/>
    <xf numFmtId="0" fontId="24" fillId="0" borderId="0" xfId="0" applyFont="1"/>
    <xf numFmtId="0" fontId="23" fillId="0" borderId="50" xfId="0" applyFont="1" applyBorder="1"/>
    <xf numFmtId="0" fontId="23" fillId="0" borderId="71" xfId="0" applyFont="1" applyBorder="1"/>
    <xf numFmtId="0" fontId="23" fillId="0" borderId="72" xfId="0" applyFont="1" applyBorder="1"/>
    <xf numFmtId="0" fontId="23" fillId="0" borderId="69" xfId="0" applyFont="1" applyBorder="1"/>
    <xf numFmtId="49" fontId="22" fillId="12" borderId="33" xfId="0" applyNumberFormat="1" applyFont="1" applyFill="1" applyBorder="1" applyAlignment="1">
      <alignment horizontal="left"/>
    </xf>
    <xf numFmtId="49" fontId="22" fillId="12" borderId="34" xfId="0" applyNumberFormat="1" applyFont="1" applyFill="1" applyBorder="1" applyAlignment="1">
      <alignment horizontal="left"/>
    </xf>
    <xf numFmtId="49" fontId="22" fillId="12" borderId="63" xfId="0" applyNumberFormat="1" applyFont="1" applyFill="1" applyBorder="1" applyAlignment="1">
      <alignment horizontal="left"/>
    </xf>
    <xf numFmtId="49" fontId="22" fillId="12" borderId="64" xfId="0" applyNumberFormat="1" applyFont="1" applyFill="1" applyBorder="1" applyAlignment="1">
      <alignment horizontal="left"/>
    </xf>
    <xf numFmtId="49" fontId="22" fillId="12" borderId="73" xfId="0" applyNumberFormat="1" applyFont="1" applyFill="1" applyBorder="1" applyAlignment="1">
      <alignment horizontal="left"/>
    </xf>
    <xf numFmtId="49" fontId="22" fillId="12" borderId="74" xfId="0" applyNumberFormat="1" applyFont="1" applyFill="1" applyBorder="1" applyAlignment="1">
      <alignment horizontal="left"/>
    </xf>
    <xf numFmtId="0" fontId="25" fillId="0" borderId="70" xfId="0" applyFont="1" applyBorder="1"/>
    <xf numFmtId="0" fontId="23" fillId="0" borderId="75" xfId="0" applyFont="1" applyBorder="1"/>
    <xf numFmtId="0" fontId="23" fillId="9" borderId="70" xfId="0" applyFont="1" applyFill="1" applyBorder="1"/>
    <xf numFmtId="0" fontId="23" fillId="9" borderId="0" xfId="0" applyFont="1" applyFill="1"/>
    <xf numFmtId="0" fontId="23" fillId="9" borderId="75" xfId="0" applyFont="1" applyFill="1" applyBorder="1"/>
    <xf numFmtId="0" fontId="24" fillId="0" borderId="75" xfId="0" applyFont="1" applyBorder="1"/>
    <xf numFmtId="0" fontId="24" fillId="0" borderId="76" xfId="0" applyFont="1" applyBorder="1"/>
    <xf numFmtId="0" fontId="23" fillId="0" borderId="76" xfId="0" applyFont="1" applyBorder="1"/>
    <xf numFmtId="0" fontId="23" fillId="9" borderId="72" xfId="0" applyFont="1" applyFill="1" applyBorder="1"/>
    <xf numFmtId="0" fontId="23" fillId="0" borderId="63" xfId="0" applyFont="1" applyBorder="1"/>
    <xf numFmtId="0" fontId="6" fillId="0" borderId="64" xfId="0" applyFont="1" applyBorder="1"/>
    <xf numFmtId="166" fontId="6" fillId="0" borderId="0" xfId="0" applyNumberFormat="1" applyFont="1" applyAlignment="1">
      <alignment horizontal="center"/>
    </xf>
    <xf numFmtId="164" fontId="26" fillId="9" borderId="40" xfId="0" applyNumberFormat="1" applyFont="1" applyFill="1" applyBorder="1" applyAlignment="1">
      <alignment horizontal="center"/>
    </xf>
    <xf numFmtId="164" fontId="26" fillId="9" borderId="41" xfId="0" applyNumberFormat="1" applyFont="1" applyFill="1" applyBorder="1" applyAlignment="1">
      <alignment horizontal="center"/>
    </xf>
    <xf numFmtId="164" fontId="20" fillId="9" borderId="41" xfId="0" applyNumberFormat="1" applyFont="1" applyFill="1" applyBorder="1" applyAlignment="1">
      <alignment horizontal="center"/>
    </xf>
    <xf numFmtId="164" fontId="20" fillId="9" borderId="42" xfId="0" applyNumberFormat="1" applyFont="1" applyFill="1" applyBorder="1" applyAlignment="1">
      <alignment horizontal="center"/>
    </xf>
    <xf numFmtId="1" fontId="20" fillId="9" borderId="43" xfId="0" applyNumberFormat="1" applyFont="1" applyFill="1" applyBorder="1" applyAlignment="1">
      <alignment horizontal="center"/>
    </xf>
    <xf numFmtId="0" fontId="20" fillId="9" borderId="44" xfId="0" applyFont="1" applyFill="1" applyBorder="1"/>
    <xf numFmtId="0" fontId="27" fillId="9" borderId="44" xfId="0" applyFont="1" applyFill="1" applyBorder="1" applyAlignment="1">
      <alignment horizontal="center"/>
    </xf>
    <xf numFmtId="164" fontId="20" fillId="9" borderId="40" xfId="0" applyNumberFormat="1" applyFont="1" applyFill="1" applyBorder="1" applyAlignment="1">
      <alignment horizontal="center"/>
    </xf>
    <xf numFmtId="0" fontId="20" fillId="9" borderId="0" xfId="0" applyFont="1" applyFill="1"/>
    <xf numFmtId="2" fontId="20" fillId="9" borderId="51" xfId="0" applyNumberFormat="1" applyFont="1" applyFill="1" applyBorder="1" applyAlignment="1">
      <alignment horizontal="center"/>
    </xf>
    <xf numFmtId="2" fontId="6" fillId="9" borderId="52" xfId="0" applyNumberFormat="1" applyFont="1" applyFill="1" applyBorder="1"/>
    <xf numFmtId="0" fontId="6" fillId="9" borderId="53" xfId="0" quotePrefix="1" applyFont="1" applyFill="1" applyBorder="1" applyAlignment="1">
      <alignment horizontal="center"/>
    </xf>
    <xf numFmtId="0" fontId="6" fillId="9" borderId="54" xfId="0" applyFont="1" applyFill="1" applyBorder="1"/>
    <xf numFmtId="2" fontId="6" fillId="9" borderId="55" xfId="0" applyNumberFormat="1" applyFont="1" applyFill="1" applyBorder="1"/>
    <xf numFmtId="49" fontId="6" fillId="9" borderId="43" xfId="0" applyNumberFormat="1" applyFont="1" applyFill="1" applyBorder="1" applyAlignment="1">
      <alignment horizontal="center"/>
    </xf>
    <xf numFmtId="0" fontId="23" fillId="0" borderId="77" xfId="0" applyFont="1" applyBorder="1"/>
    <xf numFmtId="1" fontId="6" fillId="0" borderId="43" xfId="0" applyNumberFormat="1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164" fontId="6" fillId="0" borderId="40" xfId="0" applyNumberFormat="1" applyFont="1" applyBorder="1" applyAlignment="1">
      <alignment horizontal="center"/>
    </xf>
    <xf numFmtId="164" fontId="20" fillId="0" borderId="41" xfId="0" applyNumberFormat="1" applyFont="1" applyBorder="1" applyAlignment="1">
      <alignment horizontal="center"/>
    </xf>
    <xf numFmtId="164" fontId="20" fillId="0" borderId="42" xfId="0" applyNumberFormat="1" applyFont="1" applyBorder="1" applyAlignment="1">
      <alignment horizontal="center"/>
    </xf>
    <xf numFmtId="0" fontId="20" fillId="0" borderId="44" xfId="0" applyFont="1" applyBorder="1"/>
    <xf numFmtId="0" fontId="27" fillId="0" borderId="44" xfId="0" applyFont="1" applyBorder="1" applyAlignment="1">
      <alignment horizontal="center"/>
    </xf>
    <xf numFmtId="164" fontId="20" fillId="0" borderId="40" xfId="0" applyNumberFormat="1" applyFont="1" applyBorder="1" applyAlignment="1">
      <alignment horizontal="center"/>
    </xf>
    <xf numFmtId="0" fontId="20" fillId="0" borderId="0" xfId="0" applyFont="1"/>
    <xf numFmtId="2" fontId="20" fillId="0" borderId="51" xfId="0" applyNumberFormat="1" applyFont="1" applyBorder="1" applyAlignment="1">
      <alignment horizontal="center"/>
    </xf>
    <xf numFmtId="0" fontId="6" fillId="13" borderId="44" xfId="0" applyFont="1" applyFill="1" applyBorder="1"/>
    <xf numFmtId="1" fontId="19" fillId="0" borderId="27" xfId="0" applyNumberFormat="1" applyFont="1" applyBorder="1" applyAlignment="1">
      <alignment horizontal="center"/>
    </xf>
    <xf numFmtId="1" fontId="19" fillId="0" borderId="28" xfId="0" applyNumberFormat="1" applyFont="1" applyBorder="1" applyAlignment="1">
      <alignment horizontal="center"/>
    </xf>
    <xf numFmtId="49" fontId="22" fillId="12" borderId="63" xfId="0" applyNumberFormat="1" applyFont="1" applyFill="1" applyBorder="1" applyAlignment="1">
      <alignment horizontal="left"/>
    </xf>
    <xf numFmtId="49" fontId="22" fillId="12" borderId="64" xfId="0" applyNumberFormat="1" applyFont="1" applyFill="1" applyBorder="1" applyAlignment="1">
      <alignment horizontal="left"/>
    </xf>
    <xf numFmtId="49" fontId="22" fillId="12" borderId="73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r&#225;tula Plan 15K (EV HEV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FD67F-A19A-49F1-929D-B7DDCAF7FAD6}"/>
            </a:ext>
          </a:extLst>
        </xdr:cNvPr>
        <xdr:cNvSpPr/>
      </xdr:nvSpPr>
      <xdr:spPr>
        <a:xfrm>
          <a:off x="1459039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14</xdr:col>
      <xdr:colOff>165100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4E58C-1F33-4CE5-B965-218CC18F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88390" y="76200"/>
          <a:ext cx="824230" cy="412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9CB307-A07D-4F98-B49F-401BB7B99727}"/>
            </a:ext>
          </a:extLst>
        </xdr:cNvPr>
        <xdr:cNvSpPr/>
      </xdr:nvSpPr>
      <xdr:spPr>
        <a:xfrm>
          <a:off x="1427797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13</xdr:col>
      <xdr:colOff>860425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B5E3A-3E84-4E95-BAE2-152C049E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0230" y="76200"/>
          <a:ext cx="803275" cy="412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2CA3F-3F74-46E9-94D7-6E41644BAF94}"/>
            </a:ext>
          </a:extLst>
        </xdr:cNvPr>
        <xdr:cNvSpPr/>
      </xdr:nvSpPr>
      <xdr:spPr>
        <a:xfrm>
          <a:off x="1532953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14</xdr:col>
      <xdr:colOff>165100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FE23DF-451A-4F6B-8B37-E86FB060B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27530" y="76200"/>
          <a:ext cx="824230" cy="412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F4831D-399B-40B2-A55B-06FCE9010168}"/>
            </a:ext>
          </a:extLst>
        </xdr:cNvPr>
        <xdr:cNvSpPr/>
      </xdr:nvSpPr>
      <xdr:spPr>
        <a:xfrm>
          <a:off x="1453705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13</xdr:col>
      <xdr:colOff>860425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87003-572A-41E7-A920-EEF2FADA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9310" y="76200"/>
          <a:ext cx="803275" cy="412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EB58D-98B2-452D-BA74-FF0DEC070148}"/>
            </a:ext>
          </a:extLst>
        </xdr:cNvPr>
        <xdr:cNvSpPr/>
      </xdr:nvSpPr>
      <xdr:spPr>
        <a:xfrm>
          <a:off x="1453705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13</xdr:col>
      <xdr:colOff>860425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ED9BA-2CD2-430F-9381-F1F94E7A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9310" y="76200"/>
          <a:ext cx="803275" cy="4123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5</xdr:row>
      <xdr:rowOff>85725</xdr:rowOff>
    </xdr:from>
    <xdr:to>
      <xdr:col>14</xdr:col>
      <xdr:colOff>514350</xdr:colOff>
      <xdr:row>7</xdr:row>
      <xdr:rowOff>142875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A94571-0BA3-4013-9E89-83072747380B}"/>
            </a:ext>
          </a:extLst>
        </xdr:cNvPr>
        <xdr:cNvSpPr/>
      </xdr:nvSpPr>
      <xdr:spPr>
        <a:xfrm>
          <a:off x="13607415" y="901065"/>
          <a:ext cx="371475" cy="361950"/>
        </a:xfrm>
        <a:prstGeom prst="leftArrow">
          <a:avLst/>
        </a:prstGeom>
        <a:solidFill>
          <a:schemeClr val="accent1"/>
        </a:solidFill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57150</xdr:colOff>
      <xdr:row>0</xdr:row>
      <xdr:rowOff>76200</xdr:rowOff>
    </xdr:from>
    <xdr:to>
      <xdr:col>13</xdr:col>
      <xdr:colOff>860425</xdr:colOff>
      <xdr:row>3</xdr:row>
      <xdr:rowOff>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BD7FA-07BE-4034-96B6-0FA10791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9670" y="76200"/>
          <a:ext cx="803275" cy="412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claraperu-my.sharepoint.com/personal/aaguero_santaclara_com_pe/Documents/Documentos/Planes%20de%20Mantenimiento%20KIA%202026.xlsx" TargetMode="External"/><Relationship Id="rId1" Type="http://schemas.openxmlformats.org/officeDocument/2006/relationships/externalLinkPath" Target="https://santaclaraperu-my.sharepoint.com/personal/aaguero_santaclara_com_pe/Documents/Documentos/Planes%20de%20Mantenimiento%20KI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Mantenimiento KIA 2021"/>
      <sheetName val="Precios"/>
      <sheetName val="Carátula Plan 5K"/>
      <sheetName val="Carátula Plan 10K"/>
      <sheetName val="Carátula Plan 15K (EV HEV)"/>
      <sheetName val="Carátula Plan 5K (Towner)"/>
      <sheetName val="Resumen"/>
      <sheetName val="Picanto TA 1.0 MT (10K)"/>
      <sheetName val="Picanto TA 1.2 MT (10K)"/>
      <sheetName val="Picanto TA 1.2 AT (10K)"/>
      <sheetName val="Picanto JA 1.0 MT (10K)"/>
      <sheetName val="Picanto JA 1.2 MT (10K)"/>
      <sheetName val="Picanto JA 1.2 AT (10K)"/>
      <sheetName val="Picanto JA 1.0 MT (5K)"/>
      <sheetName val="Picanto JA 1.2 MT (5K)"/>
      <sheetName val="Picanto JA 1.2 AT (5K)"/>
      <sheetName val="Picanto JA (PE) 1.0 MT (5K)"/>
      <sheetName val="Picanto JA (PE) 1.2 MT (5K) "/>
      <sheetName val="Picanto JA (PE) 1.2 AT (5K)"/>
      <sheetName val="Soluto AB 1.4 MT (10K)"/>
      <sheetName val="Soluto AB 1.4 AT (10K)"/>
      <sheetName val="Soluto AB 1.4 MT (10K) GLP"/>
      <sheetName val="Soluto AB 1.4 AT (10K) GLP"/>
      <sheetName val="Soluto AB 1.4 MT (10K) GNV"/>
      <sheetName val="Soluto AB 1.4 AT (10K) GNV "/>
      <sheetName val="Soluto AB 1.4 AT (5K)"/>
      <sheetName val="Soluto AB 1.4 MT (5K)"/>
      <sheetName val="Soluto AB 1.4 MT (5K) GLP"/>
      <sheetName val="Soluto AB 1.4 AT (5K) GLP"/>
      <sheetName val="Soluto AB 1.4 MT (5K) GNV "/>
      <sheetName val="Soluto AB 1.4 AT (5K) GNV"/>
      <sheetName val="Rio UB 1.2 MT (10K)"/>
      <sheetName val="Rio UB 1.4 MT (10K)"/>
      <sheetName val="Rio UB 1.4 AT (10K)"/>
      <sheetName val="Rio SC 1.4 MT (10K)"/>
      <sheetName val="Rio SC 1.4 AT (10K)"/>
      <sheetName val="Rio SC 1.4 MT (5K)"/>
      <sheetName val="Rio SC 1.4 AT (5K)"/>
      <sheetName val="Cerato YD 1.6 MT (10K)"/>
      <sheetName val="Cerato YD 1.6 AT (10K)"/>
      <sheetName val="Cerato YD 2.0 MT (10K)"/>
      <sheetName val="Cerato BDm 1.6 MT (10K)"/>
      <sheetName val="Cerato BDm 1.6 AT (10K)"/>
      <sheetName val="Cerato BDm 1.6 MT (5K)"/>
      <sheetName val="Cerato BDm 1.6 AT (5K)"/>
      <sheetName val="K3 BL7m 1.4 MT (5K) "/>
      <sheetName val="K3 BL7m 1.4 AT (5K) "/>
      <sheetName val="K3 BL7m 1.4 MT (5K) GLP"/>
      <sheetName val="K3 BL7m 1.4 AT (5K) GLP "/>
      <sheetName val="K3 BL7m 1.4 MT (5K) GNV"/>
      <sheetName val="K3 BL7m 1.4 AT (5K) GNV"/>
      <sheetName val="K3 BL7m 1.6 MT (5K)"/>
      <sheetName val="K3 BL7m 1.6 AT (5K)"/>
      <sheetName val="K3 BL7m 1.6 MT (5K) GLP"/>
      <sheetName val="K3 BL7m 1.6 AT (5K) GLP"/>
      <sheetName val="Sonet QYi 1.5 MT (5K)"/>
      <sheetName val="Sonet QYi 1.5 CVT (5K)"/>
      <sheetName val="Sonet QYc 1.5 MT (5K)"/>
      <sheetName val="Sonet QYc 1.5 CVT (5K)"/>
      <sheetName val="Sonet QYc 1.5 MT (5K) GLP"/>
      <sheetName val="Sonet QYc 1.5 CVT (5K) GLP"/>
      <sheetName val="Tasman TK 2.2 MT 4WD (5K) "/>
      <sheetName val="Tasman TK 2.2 AT 4WD (5K)"/>
      <sheetName val="Optima TF 2.0 MT (10K)"/>
      <sheetName val="Optima TF 2.4 MT (10K)"/>
      <sheetName val="Optima TF 2.4 AT (10K)"/>
      <sheetName val="Optima JF 2.0 MT (10K)"/>
      <sheetName val="Optima JF 2.4 MT (10K)"/>
      <sheetName val="Optima JF 2.4 AT (10K)"/>
      <sheetName val="Cadenza VG 3.5 AT (10K)"/>
      <sheetName val="Cadenza YG 3.3 MT (10K)"/>
      <sheetName val="Cadenza YG 3.3 AT (10K)"/>
      <sheetName val="Quoris KH 3.5"/>
      <sheetName val="Stinger SK 2.0T (10K)"/>
      <sheetName val="Stinger SK V6 3.3T (10K)"/>
      <sheetName val="Soul PS 1.6 MT (10K)"/>
      <sheetName val="Soul PS 1.6 AT (10K)"/>
      <sheetName val="Carens RP 2.0 MT (10K)"/>
      <sheetName val="Carens RP 2.0 AT (10K)"/>
      <sheetName val="Carens KY 1.4 DCT (10K)"/>
      <sheetName val="Carens KY 1.5 CVT (10K)"/>
      <sheetName val="Carens KY 1.5 DCT (10K)"/>
      <sheetName val="Seltos SP2i 1.6 MT (10K)"/>
      <sheetName val="Seltos SP2i 1.6 AT (10K)"/>
      <sheetName val="Seltos SP2c 1.5 MT (10K)"/>
      <sheetName val="Seltos SP2c 1.5 CVT (10K)"/>
      <sheetName val="Seltos SP2c 1.5 MT (10K) GLP"/>
      <sheetName val="Seltos SP2c 1.5 CVT (10K) GLP"/>
      <sheetName val="Sportage SL 2.0 MT (10K)"/>
      <sheetName val="Sportage SL 2.0 AT (10K)"/>
      <sheetName val="Sportage QL 2.0 MT (10K)"/>
      <sheetName val="Sportage QL 2.0 AT (10K)"/>
      <sheetName val="Sportage NQ5 1.6 GDI DCT (10K)"/>
      <sheetName val="Sportage NQ5 2.0 MT (10K)"/>
      <sheetName val="Sportage NQ5 2.0 AT (10K)"/>
      <sheetName val="Sportage NQ5 2.0 MT (10K) GLP"/>
      <sheetName val="Sportage NQ5 2.0 AT (10K) GLP"/>
      <sheetName val="Niro SG2 HEV 1.6 GDI (15K)"/>
      <sheetName val="Sorento XM 2.4 MT (10K)"/>
      <sheetName val="Sorento XM 2.4 AT (10K)"/>
      <sheetName val="Sorento XM 3.5 AT (10K)"/>
      <sheetName val="Sorento UM 3.3 AT (10K)"/>
      <sheetName val="Sorento UM 3.3 AT AWD (10K)"/>
      <sheetName val="Sorento UM 2.4 MT (10K)"/>
      <sheetName val="Sorento UM 2.4 AT (10K)"/>
      <sheetName val="Sorento UM 2.4 MT AWD (10K)"/>
      <sheetName val="Sorento UM 2.4 AT AWD (10K)"/>
      <sheetName val="Sorento UM 3.5 AT AWD (10K)"/>
      <sheetName val="Sorento MQ4 2.5 AT (10K)"/>
      <sheetName val="Sorento MQ4 3.5 AT (10K)"/>
      <sheetName val="Sorento MQ4 2.2 DCT (10K)"/>
      <sheetName val="Mohave HM 3.8 MT (10K)"/>
      <sheetName val="Mohave HM 3.8 AT (10K)"/>
      <sheetName val="Carnival YP 2.2 AT (10K)"/>
      <sheetName val="Carnival YP 3.3 AT (10K)"/>
      <sheetName val="Carnival KA4 3.5 AT (10K) "/>
      <sheetName val="Niro DE HEV 1.6 GDI (15K) "/>
      <sheetName val="Sportage NQ5 HEV 1.6 DCT (15K)"/>
      <sheetName val="Niro SG2 EV (15K) "/>
      <sheetName val="EV5 EV (15K) "/>
      <sheetName val="EV9 (MV)"/>
      <sheetName val="Towner 2.5 CRDi MT 2WD (5K)"/>
      <sheetName val="Towner 2.5 CRDi MT 4WD (5K)"/>
      <sheetName val="K4000G 2.5 CRDi MT 2WD (5K) "/>
      <sheetName val="Resumen Precios 5K"/>
      <sheetName val="5K"/>
      <sheetName val="Margen Paquetes"/>
      <sheetName val="10K"/>
      <sheetName val="Resumen Precios 10K"/>
      <sheetName val="15K"/>
      <sheetName val="Resumen Precios 15K"/>
      <sheetName val="Resumen Costos"/>
      <sheetName val="Resumen Margen"/>
      <sheetName val="Precio-Costo FS"/>
      <sheetName val="FS"/>
      <sheetName val="UNLIMITED"/>
      <sheetName val="2 SERVICIOS"/>
      <sheetName val="Hoja1"/>
      <sheetName val="Resumen Ventas"/>
    </sheetNames>
    <sheetDataSet>
      <sheetData sheetId="0"/>
      <sheetData sheetId="1">
        <row r="6">
          <cell r="F6">
            <v>310.93</v>
          </cell>
          <cell r="I6">
            <v>88.5</v>
          </cell>
        </row>
        <row r="9">
          <cell r="F9">
            <v>94.399999999999991</v>
          </cell>
          <cell r="I9">
            <v>59</v>
          </cell>
        </row>
        <row r="14">
          <cell r="B14">
            <v>744833</v>
          </cell>
          <cell r="C14" t="str">
            <v>Aceite Semisintético: Helix HX7 10W40 (lts)</v>
          </cell>
          <cell r="D14">
            <v>8.6644444444444453</v>
          </cell>
          <cell r="E14">
            <v>10.224044444444445</v>
          </cell>
          <cell r="F14">
            <v>46.008200000000002</v>
          </cell>
          <cell r="G14">
            <v>44.745600000000003</v>
          </cell>
          <cell r="H14">
            <v>37.92</v>
          </cell>
          <cell r="I14">
            <v>4.6399999999999997</v>
          </cell>
          <cell r="J14">
            <v>24.638399999999997</v>
          </cell>
        </row>
        <row r="15">
          <cell r="B15">
            <v>741433</v>
          </cell>
          <cell r="C15" t="str">
            <v>Aceite Sintético: Helix HX8 5W30 (lts)</v>
          </cell>
          <cell r="D15">
            <v>9.155555555555555</v>
          </cell>
          <cell r="E15">
            <v>10.803555555555555</v>
          </cell>
          <cell r="F15">
            <v>48.616</v>
          </cell>
          <cell r="G15">
            <v>56.698999999999991</v>
          </cell>
          <cell r="H15">
            <v>48.05</v>
          </cell>
          <cell r="I15">
            <v>5.87</v>
          </cell>
          <cell r="J15">
            <v>31.169699999999999</v>
          </cell>
        </row>
        <row r="16">
          <cell r="B16">
            <v>730933</v>
          </cell>
          <cell r="C16" t="str">
            <v>Aceite Semisintético: Rimula R5E 10W40 (lts)</v>
          </cell>
          <cell r="D16">
            <v>10.326666666666666</v>
          </cell>
          <cell r="E16">
            <v>12.185466666666665</v>
          </cell>
          <cell r="F16">
            <v>54.834599999999995</v>
          </cell>
          <cell r="G16">
            <v>54.834599999999995</v>
          </cell>
          <cell r="H16">
            <v>55.77</v>
          </cell>
          <cell r="I16">
            <v>6.82</v>
          </cell>
          <cell r="J16">
            <v>36.214199999999998</v>
          </cell>
        </row>
        <row r="17">
          <cell r="B17">
            <v>774859</v>
          </cell>
          <cell r="C17" t="str">
            <v>Aceite de Motor Sintético: Rimula R6LM 10W40 (lts)</v>
          </cell>
          <cell r="D17">
            <v>15.146666666666667</v>
          </cell>
          <cell r="E17">
            <v>17.873066666666666</v>
          </cell>
          <cell r="F17">
            <v>80.428799999999995</v>
          </cell>
          <cell r="G17">
            <v>80.428799999999995</v>
          </cell>
          <cell r="H17">
            <v>68.16</v>
          </cell>
          <cell r="I17">
            <v>8.33</v>
          </cell>
          <cell r="J17">
            <v>44.232299999999995</v>
          </cell>
        </row>
        <row r="19">
          <cell r="B19" t="str">
            <v>Otros:</v>
          </cell>
        </row>
        <row r="20">
          <cell r="B20" t="str">
            <v>LIQUIDOFRENO</v>
          </cell>
          <cell r="C20" t="str">
            <v>Líquido de frenos DOT4 (lts)</v>
          </cell>
          <cell r="D20">
            <v>12.575555555555557</v>
          </cell>
          <cell r="E20">
            <v>14.839155555555557</v>
          </cell>
          <cell r="F20">
            <v>66.776200000000003</v>
          </cell>
          <cell r="G20">
            <v>66.776200000000003</v>
          </cell>
          <cell r="H20">
            <v>56.59</v>
          </cell>
          <cell r="J20">
            <v>12.81</v>
          </cell>
        </row>
        <row r="21">
          <cell r="B21" t="str">
            <v>LIQUIDO ACTUADOR EMBRAGUE</v>
          </cell>
          <cell r="C21" t="str">
            <v>Líquido de frenos DOT4 (lts)</v>
          </cell>
          <cell r="D21">
            <v>12.575555555555557</v>
          </cell>
          <cell r="E21">
            <v>14.839155555555557</v>
          </cell>
          <cell r="F21">
            <v>66.776200000000003</v>
          </cell>
          <cell r="G21">
            <v>66.776200000000003</v>
          </cell>
          <cell r="H21">
            <v>56.59</v>
          </cell>
        </row>
        <row r="22">
          <cell r="B22" t="str">
            <v>LIQUIDOREFRI</v>
          </cell>
          <cell r="C22" t="str">
            <v>Líquido Refrigerante (lts)</v>
          </cell>
          <cell r="D22">
            <v>7.5386064030131825</v>
          </cell>
          <cell r="E22">
            <v>8.8955555555555552</v>
          </cell>
          <cell r="F22">
            <v>40.03</v>
          </cell>
          <cell r="G22">
            <v>40.03</v>
          </cell>
          <cell r="J22">
            <v>19.186800000000002</v>
          </cell>
        </row>
        <row r="23">
          <cell r="B23" t="str">
            <v>ACEITE-T/M-75W85</v>
          </cell>
          <cell r="C23" t="str">
            <v>SPIRAX S6 GXME 75W-80 209L 724833</v>
          </cell>
          <cell r="D23">
            <v>16.186440677966104</v>
          </cell>
          <cell r="E23">
            <v>19.100000000000001</v>
          </cell>
          <cell r="F23">
            <v>85.95</v>
          </cell>
          <cell r="G23">
            <v>85.95</v>
          </cell>
          <cell r="H23">
            <v>72.83898305084746</v>
          </cell>
        </row>
        <row r="24">
          <cell r="B24">
            <v>723632</v>
          </cell>
          <cell r="C24" t="str">
            <v>Aceite de Diferencial LSD: Spirax S2 ALS 80W90 (lts)</v>
          </cell>
          <cell r="D24">
            <v>11.36888888888889</v>
          </cell>
          <cell r="E24">
            <v>13.415288888888888</v>
          </cell>
          <cell r="F24">
            <v>60.368799999999993</v>
          </cell>
          <cell r="G24">
            <v>60.368799999999993</v>
          </cell>
          <cell r="H24">
            <v>51.16</v>
          </cell>
        </row>
        <row r="25">
          <cell r="B25">
            <v>723332</v>
          </cell>
          <cell r="C25" t="str">
            <v>Aceite diferencial SAE 90 (lts)</v>
          </cell>
          <cell r="D25">
            <v>9.0733333333333341</v>
          </cell>
          <cell r="E25">
            <v>10.706533333333333</v>
          </cell>
          <cell r="F25">
            <v>48.179399999999994</v>
          </cell>
          <cell r="G25">
            <v>48.179399999999994</v>
          </cell>
          <cell r="H25">
            <v>40.83</v>
          </cell>
        </row>
        <row r="26">
          <cell r="B26">
            <v>723932</v>
          </cell>
          <cell r="C26" t="str">
            <v>Aceite Trans. - Spirax S3 G 80W</v>
          </cell>
          <cell r="D26">
            <v>7.9799999999999995</v>
          </cell>
          <cell r="E26">
            <v>9.4163999999999994</v>
          </cell>
          <cell r="F26">
            <v>42.373799999999996</v>
          </cell>
          <cell r="G26">
            <v>42.373799999999996</v>
          </cell>
          <cell r="H26">
            <v>35.909999999999997</v>
          </cell>
          <cell r="I26">
            <v>19.75</v>
          </cell>
          <cell r="J26">
            <v>23.305</v>
          </cell>
        </row>
        <row r="27">
          <cell r="B27">
            <v>310000100</v>
          </cell>
          <cell r="C27" t="str">
            <v>LIQUIDO DE DIRECCION PSF3</v>
          </cell>
          <cell r="D27">
            <v>24.751111111111108</v>
          </cell>
          <cell r="E27">
            <v>29.206311111111106</v>
          </cell>
          <cell r="F27">
            <v>131.42839999999998</v>
          </cell>
          <cell r="G27">
            <v>131.42839999999998</v>
          </cell>
          <cell r="H27">
            <v>111.38</v>
          </cell>
        </row>
        <row r="30">
          <cell r="B30" t="str">
            <v>Repuestos:</v>
          </cell>
          <cell r="D30" t="str">
            <v>Precio Web Repuestos</v>
          </cell>
          <cell r="F30" t="str">
            <v>PVP (S/. inc. IGV)</v>
          </cell>
          <cell r="G30" t="str">
            <v>Nuevo precio de venta (inc.igv)</v>
          </cell>
          <cell r="I30" t="str">
            <v>Costo (sin igv)</v>
          </cell>
          <cell r="J30" t="str">
            <v>Costo (con igv)</v>
          </cell>
        </row>
        <row r="31">
          <cell r="B31" t="str">
            <v>263002Y500</v>
          </cell>
          <cell r="C31" t="str">
            <v>Filtro de aceite</v>
          </cell>
          <cell r="D31">
            <v>5.18</v>
          </cell>
          <cell r="E31">
            <v>6.1123999999999992</v>
          </cell>
          <cell r="F31">
            <v>27.505799999999997</v>
          </cell>
          <cell r="G31">
            <v>27.505799999999997</v>
          </cell>
          <cell r="H31">
            <v>5.18</v>
          </cell>
          <cell r="I31">
            <v>3.63</v>
          </cell>
          <cell r="J31">
            <v>19.275300000000001</v>
          </cell>
        </row>
        <row r="32">
          <cell r="B32">
            <v>2151323001</v>
          </cell>
          <cell r="C32" t="str">
            <v>Arandela de tapón de cárter</v>
          </cell>
          <cell r="D32">
            <v>0.68999999999999984</v>
          </cell>
          <cell r="E32">
            <v>0.81419999999999981</v>
          </cell>
          <cell r="F32">
            <v>3.663899999999999</v>
          </cell>
          <cell r="G32">
            <v>3.663899999999999</v>
          </cell>
          <cell r="H32">
            <v>0.69</v>
          </cell>
          <cell r="I32">
            <v>0.48</v>
          </cell>
          <cell r="J32">
            <v>2.5488</v>
          </cell>
        </row>
        <row r="33">
          <cell r="B33" t="str">
            <v>28113G6000</v>
          </cell>
          <cell r="C33" t="str">
            <v>Filtro de aire</v>
          </cell>
          <cell r="D33">
            <v>9.9899999999999984</v>
          </cell>
          <cell r="E33">
            <v>11.788199999999998</v>
          </cell>
          <cell r="F33">
            <v>53.046899999999994</v>
          </cell>
          <cell r="G33">
            <v>53.046899999999994</v>
          </cell>
          <cell r="H33">
            <v>9.99</v>
          </cell>
          <cell r="I33">
            <v>6.99</v>
          </cell>
          <cell r="J33">
            <v>37.116900000000001</v>
          </cell>
        </row>
        <row r="34">
          <cell r="B34" t="str">
            <v>281134X000</v>
          </cell>
          <cell r="C34" t="str">
            <v>Filtro de aire</v>
          </cell>
          <cell r="D34">
            <v>21.18</v>
          </cell>
          <cell r="E34">
            <v>24.9924</v>
          </cell>
          <cell r="F34">
            <v>112.4658</v>
          </cell>
          <cell r="G34">
            <v>112.4658</v>
          </cell>
          <cell r="H34">
            <v>21.18</v>
          </cell>
          <cell r="I34">
            <v>14.83</v>
          </cell>
          <cell r="J34">
            <v>78.747299999999996</v>
          </cell>
        </row>
        <row r="35">
          <cell r="B35" t="str">
            <v>28113H8100</v>
          </cell>
          <cell r="C35" t="str">
            <v>Filtro de aire</v>
          </cell>
          <cell r="D35">
            <v>13.79</v>
          </cell>
          <cell r="E35">
            <v>16.272199999999998</v>
          </cell>
          <cell r="F35">
            <v>73.224899999999991</v>
          </cell>
          <cell r="G35">
            <v>73.224899999999991</v>
          </cell>
          <cell r="H35">
            <v>13.79</v>
          </cell>
          <cell r="I35">
            <v>9.65</v>
          </cell>
          <cell r="J35">
            <v>51.241500000000002</v>
          </cell>
        </row>
        <row r="36">
          <cell r="B36">
            <v>2630035505</v>
          </cell>
          <cell r="C36" t="str">
            <v>Filtro de aceite</v>
          </cell>
          <cell r="D36">
            <v>4.9400000000000004</v>
          </cell>
          <cell r="E36">
            <v>5.8292000000000002</v>
          </cell>
          <cell r="F36">
            <v>26.231400000000001</v>
          </cell>
          <cell r="G36">
            <v>26.231400000000001</v>
          </cell>
          <cell r="H36">
            <v>4.9400000000000004</v>
          </cell>
          <cell r="I36">
            <v>3.46</v>
          </cell>
          <cell r="J36">
            <v>18.372599999999998</v>
          </cell>
        </row>
        <row r="37">
          <cell r="B37" t="str">
            <v>28113F2000</v>
          </cell>
          <cell r="C37" t="str">
            <v>Filtro de aire</v>
          </cell>
          <cell r="D37">
            <v>14.18</v>
          </cell>
          <cell r="E37">
            <v>16.732399999999998</v>
          </cell>
          <cell r="F37">
            <v>75.2958</v>
          </cell>
          <cell r="G37">
            <v>75.2958</v>
          </cell>
          <cell r="H37">
            <v>14.18</v>
          </cell>
          <cell r="I37">
            <v>9.93</v>
          </cell>
          <cell r="J37">
            <v>52.728299999999997</v>
          </cell>
        </row>
        <row r="38">
          <cell r="B38">
            <v>1885810090</v>
          </cell>
          <cell r="C38" t="str">
            <v>Bujía</v>
          </cell>
          <cell r="D38">
            <v>5.72</v>
          </cell>
          <cell r="E38">
            <v>6.7495999999999992</v>
          </cell>
          <cell r="F38">
            <v>30.373199999999997</v>
          </cell>
          <cell r="G38">
            <v>30.373199999999997</v>
          </cell>
          <cell r="H38">
            <v>5.72</v>
          </cell>
          <cell r="I38">
            <v>4</v>
          </cell>
          <cell r="J38">
            <v>21.24</v>
          </cell>
        </row>
        <row r="39">
          <cell r="B39" t="str">
            <v>28113A0100</v>
          </cell>
          <cell r="C39" t="str">
            <v>Filtro de aire</v>
          </cell>
          <cell r="D39">
            <v>20.47</v>
          </cell>
          <cell r="E39">
            <v>24.154599999999999</v>
          </cell>
          <cell r="F39">
            <v>108.69569999999999</v>
          </cell>
          <cell r="G39">
            <v>108.69569999999999</v>
          </cell>
          <cell r="H39">
            <v>20.47</v>
          </cell>
          <cell r="I39">
            <v>14.33</v>
          </cell>
          <cell r="J39">
            <v>76.092299999999994</v>
          </cell>
        </row>
        <row r="40">
          <cell r="B40">
            <v>1885510060</v>
          </cell>
          <cell r="C40" t="str">
            <v>Bujía</v>
          </cell>
          <cell r="D40">
            <v>8.629999999999999</v>
          </cell>
          <cell r="E40">
            <v>10.183399999999999</v>
          </cell>
          <cell r="F40">
            <v>45.825299999999999</v>
          </cell>
          <cell r="G40">
            <v>45.825299999999999</v>
          </cell>
          <cell r="H40">
            <v>8.6300000000000008</v>
          </cell>
          <cell r="I40">
            <v>6.04</v>
          </cell>
          <cell r="J40">
            <v>32.072399999999995</v>
          </cell>
        </row>
        <row r="41">
          <cell r="B41" t="str">
            <v>28113D3300</v>
          </cell>
          <cell r="C41" t="str">
            <v>Filtro de aire</v>
          </cell>
          <cell r="D41">
            <v>12.210000000000003</v>
          </cell>
          <cell r="E41">
            <v>14.407800000000002</v>
          </cell>
          <cell r="F41">
            <v>64.835100000000011</v>
          </cell>
          <cell r="G41">
            <v>64.835100000000011</v>
          </cell>
          <cell r="H41">
            <v>12.21</v>
          </cell>
          <cell r="I41">
            <v>8.5500000000000007</v>
          </cell>
          <cell r="J41">
            <v>45.400500000000001</v>
          </cell>
        </row>
        <row r="42">
          <cell r="B42" t="str">
            <v>28113A9100</v>
          </cell>
          <cell r="C42" t="str">
            <v>Filtro de aire</v>
          </cell>
          <cell r="D42">
            <v>17.840000000000003</v>
          </cell>
          <cell r="E42">
            <v>21.051200000000001</v>
          </cell>
          <cell r="F42">
            <v>94.730400000000003</v>
          </cell>
          <cell r="G42">
            <v>94.730400000000003</v>
          </cell>
          <cell r="H42">
            <v>17.84</v>
          </cell>
          <cell r="I42">
            <v>12.49</v>
          </cell>
          <cell r="J42">
            <v>66.321899999999999</v>
          </cell>
        </row>
        <row r="43">
          <cell r="B43">
            <v>1884111051</v>
          </cell>
          <cell r="C43" t="str">
            <v>Bujía</v>
          </cell>
          <cell r="D43">
            <v>8.629999999999999</v>
          </cell>
          <cell r="E43">
            <v>10.183399999999999</v>
          </cell>
          <cell r="F43">
            <v>45.825299999999999</v>
          </cell>
          <cell r="G43">
            <v>45.825299999999999</v>
          </cell>
          <cell r="H43">
            <v>8.6300000000000008</v>
          </cell>
          <cell r="I43">
            <v>6.04</v>
          </cell>
          <cell r="J43">
            <v>32.072399999999995</v>
          </cell>
        </row>
        <row r="44">
          <cell r="B44" t="str">
            <v>263203CAA0</v>
          </cell>
          <cell r="C44" t="str">
            <v>Filtro de aceite</v>
          </cell>
          <cell r="D44">
            <v>10.79</v>
          </cell>
          <cell r="E44">
            <v>12.732199999999999</v>
          </cell>
          <cell r="F44">
            <v>57.294899999999991</v>
          </cell>
          <cell r="G44">
            <v>57.294899999999991</v>
          </cell>
          <cell r="H44">
            <v>10.79</v>
          </cell>
          <cell r="I44">
            <v>7.55</v>
          </cell>
          <cell r="J44">
            <v>40.090499999999999</v>
          </cell>
        </row>
        <row r="45">
          <cell r="B45">
            <v>3111207000</v>
          </cell>
          <cell r="C45" t="str">
            <v>Filtro de combustible</v>
          </cell>
          <cell r="D45">
            <v>27.569999999999997</v>
          </cell>
          <cell r="E45">
            <v>32.532599999999995</v>
          </cell>
          <cell r="F45">
            <v>146.39669999999998</v>
          </cell>
          <cell r="G45">
            <v>146.39669999999998</v>
          </cell>
          <cell r="H45">
            <v>27.57</v>
          </cell>
          <cell r="I45">
            <v>19.3</v>
          </cell>
          <cell r="J45">
            <v>102.483</v>
          </cell>
        </row>
        <row r="46">
          <cell r="B46" t="str">
            <v>31112C9100</v>
          </cell>
          <cell r="C46" t="str">
            <v>Filtro de combustible</v>
          </cell>
          <cell r="D46">
            <v>23.569999999999997</v>
          </cell>
          <cell r="E46">
            <v>27.812599999999996</v>
          </cell>
          <cell r="F46">
            <v>125.15669999999999</v>
          </cell>
          <cell r="G46">
            <v>125.15669999999999</v>
          </cell>
          <cell r="H46">
            <v>23.57</v>
          </cell>
          <cell r="I46">
            <v>16.5</v>
          </cell>
          <cell r="J46">
            <v>87.614999999999995</v>
          </cell>
        </row>
        <row r="47">
          <cell r="B47">
            <v>1884310063</v>
          </cell>
          <cell r="C47" t="str">
            <v>Bujía</v>
          </cell>
          <cell r="D47">
            <v>11.360000000000001</v>
          </cell>
          <cell r="E47">
            <v>13.4048</v>
          </cell>
          <cell r="F47">
            <v>60.321599999999997</v>
          </cell>
          <cell r="G47">
            <v>60.321599999999997</v>
          </cell>
          <cell r="H47">
            <v>11.36</v>
          </cell>
          <cell r="I47">
            <v>7.95</v>
          </cell>
          <cell r="J47">
            <v>42.214499999999994</v>
          </cell>
        </row>
        <row r="48">
          <cell r="B48" t="str">
            <v>314532K000</v>
          </cell>
          <cell r="C48" t="str">
            <v>Filtro de aire de tanque de combustible</v>
          </cell>
          <cell r="D48">
            <v>49.92</v>
          </cell>
          <cell r="E48">
            <v>58.9056</v>
          </cell>
          <cell r="F48">
            <v>265.0752</v>
          </cell>
          <cell r="G48">
            <v>265.0752</v>
          </cell>
          <cell r="H48">
            <v>49.92</v>
          </cell>
          <cell r="I48">
            <v>34.94</v>
          </cell>
          <cell r="J48">
            <v>185.53139999999999</v>
          </cell>
        </row>
        <row r="49">
          <cell r="B49" t="str">
            <v>311121R000</v>
          </cell>
          <cell r="C49" t="str">
            <v xml:space="preserve">Filtro de combustible </v>
          </cell>
          <cell r="D49">
            <v>27.410000000000004</v>
          </cell>
          <cell r="E49">
            <v>32.343800000000002</v>
          </cell>
          <cell r="F49">
            <v>145.5471</v>
          </cell>
          <cell r="G49">
            <v>145.5471</v>
          </cell>
          <cell r="H49">
            <v>27.41</v>
          </cell>
          <cell r="I49">
            <v>19.190000000000001</v>
          </cell>
          <cell r="J49">
            <v>101.8989</v>
          </cell>
        </row>
        <row r="50">
          <cell r="B50" t="str">
            <v>31453F0000</v>
          </cell>
          <cell r="C50" t="str">
            <v>Filtro de aire de tanque de combustible</v>
          </cell>
          <cell r="D50">
            <v>55.75</v>
          </cell>
          <cell r="E50">
            <v>65.784999999999997</v>
          </cell>
          <cell r="F50">
            <v>296.03249999999997</v>
          </cell>
          <cell r="G50">
            <v>296.03249999999997</v>
          </cell>
          <cell r="H50">
            <v>55.75</v>
          </cell>
          <cell r="I50">
            <v>39.03</v>
          </cell>
          <cell r="J50">
            <v>207.24929999999998</v>
          </cell>
        </row>
        <row r="51">
          <cell r="B51" t="str">
            <v>31112F9000</v>
          </cell>
          <cell r="C51" t="str">
            <v>Filtro de combustible</v>
          </cell>
          <cell r="D51">
            <v>19.28</v>
          </cell>
          <cell r="E51">
            <v>22.750399999999999</v>
          </cell>
          <cell r="F51">
            <v>102.3768</v>
          </cell>
          <cell r="G51">
            <v>102.3768</v>
          </cell>
          <cell r="H51">
            <v>19.28</v>
          </cell>
          <cell r="I51">
            <v>13.5</v>
          </cell>
          <cell r="J51">
            <v>71.685000000000002</v>
          </cell>
        </row>
        <row r="52">
          <cell r="B52" t="str">
            <v>263304A001</v>
          </cell>
          <cell r="C52" t="str">
            <v>Filtro de aceite</v>
          </cell>
          <cell r="D52">
            <v>10.16</v>
          </cell>
          <cell r="E52">
            <v>11.988799999999999</v>
          </cell>
          <cell r="F52">
            <v>53.949599999999997</v>
          </cell>
          <cell r="G52">
            <v>53.949599999999997</v>
          </cell>
          <cell r="H52">
            <v>10.16</v>
          </cell>
          <cell r="I52">
            <v>7.11</v>
          </cell>
          <cell r="J52">
            <v>37.754100000000001</v>
          </cell>
        </row>
        <row r="53">
          <cell r="B53">
            <v>1884310062</v>
          </cell>
          <cell r="C53" t="str">
            <v>Bujía</v>
          </cell>
          <cell r="D53">
            <v>9.36</v>
          </cell>
          <cell r="E53">
            <v>11.044799999999999</v>
          </cell>
          <cell r="F53">
            <v>49.701599999999992</v>
          </cell>
          <cell r="G53">
            <v>49.701599999999992</v>
          </cell>
          <cell r="H53">
            <v>9.36</v>
          </cell>
          <cell r="I53">
            <v>6.55</v>
          </cell>
          <cell r="J53">
            <v>34.780499999999996</v>
          </cell>
        </row>
        <row r="54">
          <cell r="B54" t="str">
            <v>281131W000</v>
          </cell>
          <cell r="C54" t="str">
            <v>Filtro de aire</v>
          </cell>
          <cell r="D54">
            <v>11.110000000000001</v>
          </cell>
          <cell r="E54">
            <v>13.1098</v>
          </cell>
          <cell r="F54">
            <v>58.994099999999996</v>
          </cell>
          <cell r="G54">
            <v>58.994099999999996</v>
          </cell>
          <cell r="H54">
            <v>11.11</v>
          </cell>
          <cell r="I54">
            <v>7.78</v>
          </cell>
          <cell r="J54">
            <v>41.311799999999998</v>
          </cell>
        </row>
        <row r="55">
          <cell r="B55" t="str">
            <v>281131R100</v>
          </cell>
          <cell r="C55" t="str">
            <v>Filtro de aire</v>
          </cell>
          <cell r="D55">
            <v>12.269999999999998</v>
          </cell>
          <cell r="E55">
            <v>14.478599999999997</v>
          </cell>
          <cell r="F55">
            <v>65.153699999999986</v>
          </cell>
          <cell r="G55">
            <v>65.153699999999986</v>
          </cell>
          <cell r="H55">
            <v>12.27</v>
          </cell>
          <cell r="I55">
            <v>8.59</v>
          </cell>
          <cell r="J55">
            <v>45.612899999999996</v>
          </cell>
        </row>
        <row r="56">
          <cell r="B56">
            <v>1884610060</v>
          </cell>
          <cell r="C56" t="str">
            <v>Bujía</v>
          </cell>
          <cell r="D56">
            <v>17.91</v>
          </cell>
          <cell r="E56">
            <v>21.133799999999997</v>
          </cell>
          <cell r="F56">
            <v>95.102099999999993</v>
          </cell>
          <cell r="G56">
            <v>95.102099999999993</v>
          </cell>
          <cell r="H56">
            <v>17.91</v>
          </cell>
          <cell r="I56">
            <v>12.54</v>
          </cell>
          <cell r="J56">
            <v>66.587399999999988</v>
          </cell>
        </row>
        <row r="57">
          <cell r="B57" t="str">
            <v>281133X000</v>
          </cell>
          <cell r="C57" t="str">
            <v>Filtro de aire</v>
          </cell>
          <cell r="D57">
            <v>12.269999999999998</v>
          </cell>
          <cell r="E57">
            <v>14.478599999999997</v>
          </cell>
          <cell r="F57">
            <v>65.153699999999986</v>
          </cell>
          <cell r="G57">
            <v>65.153699999999986</v>
          </cell>
          <cell r="H57">
            <v>12.27</v>
          </cell>
          <cell r="I57">
            <v>8.59</v>
          </cell>
          <cell r="J57">
            <v>45.612899999999996</v>
          </cell>
        </row>
        <row r="58">
          <cell r="B58" t="str">
            <v>31112A70A0</v>
          </cell>
          <cell r="C58" t="str">
            <v>Filtro de combustible</v>
          </cell>
          <cell r="D58">
            <v>48.110000000000007</v>
          </cell>
          <cell r="E58">
            <v>56.769800000000004</v>
          </cell>
          <cell r="F58">
            <v>255.4641</v>
          </cell>
          <cell r="G58">
            <v>255.4641</v>
          </cell>
          <cell r="H58">
            <v>48.11</v>
          </cell>
          <cell r="I58">
            <v>33.68</v>
          </cell>
          <cell r="J58">
            <v>178.8408</v>
          </cell>
        </row>
        <row r="59">
          <cell r="B59">
            <v>1884611070</v>
          </cell>
          <cell r="C59" t="str">
            <v>Bujía</v>
          </cell>
          <cell r="D59">
            <v>17.91</v>
          </cell>
          <cell r="E59">
            <v>21.133799999999997</v>
          </cell>
          <cell r="F59">
            <v>95.102099999999993</v>
          </cell>
          <cell r="G59">
            <v>95.102099999999993</v>
          </cell>
          <cell r="H59">
            <v>17.91</v>
          </cell>
          <cell r="I59">
            <v>12.54</v>
          </cell>
          <cell r="J59">
            <v>66.587399999999988</v>
          </cell>
        </row>
        <row r="60">
          <cell r="B60" t="str">
            <v>281133S800</v>
          </cell>
          <cell r="C60" t="str">
            <v>Filtro de aire</v>
          </cell>
          <cell r="D60">
            <v>15.519999999999998</v>
          </cell>
          <cell r="E60">
            <v>18.313599999999997</v>
          </cell>
          <cell r="F60">
            <v>82.411199999999994</v>
          </cell>
          <cell r="G60">
            <v>82.411199999999994</v>
          </cell>
          <cell r="H60">
            <v>15.52</v>
          </cell>
          <cell r="I60">
            <v>10.86</v>
          </cell>
          <cell r="J60">
            <v>57.666599999999995</v>
          </cell>
        </row>
        <row r="61">
          <cell r="B61" t="str">
            <v>314531D050</v>
          </cell>
          <cell r="C61" t="str">
            <v>Filtro de aire de tanque de combustible</v>
          </cell>
          <cell r="D61">
            <v>28.720000000000002</v>
          </cell>
          <cell r="E61">
            <v>33.889600000000002</v>
          </cell>
          <cell r="F61">
            <v>152.50319999999999</v>
          </cell>
          <cell r="G61">
            <v>152.50319999999999</v>
          </cell>
          <cell r="H61">
            <v>28.72</v>
          </cell>
          <cell r="I61">
            <v>20.100000000000001</v>
          </cell>
          <cell r="J61">
            <v>106.73099999999999</v>
          </cell>
        </row>
        <row r="62">
          <cell r="B62" t="str">
            <v>311123R000</v>
          </cell>
          <cell r="C62" t="str">
            <v>Filtro de combustible</v>
          </cell>
          <cell r="D62">
            <v>22.54</v>
          </cell>
          <cell r="E62">
            <v>26.597199999999997</v>
          </cell>
          <cell r="F62">
            <v>119.68739999999998</v>
          </cell>
          <cell r="G62">
            <v>119.68739999999998</v>
          </cell>
          <cell r="H62">
            <v>22.54</v>
          </cell>
          <cell r="I62">
            <v>15.78</v>
          </cell>
          <cell r="J62">
            <v>83.791799999999981</v>
          </cell>
        </row>
        <row r="63">
          <cell r="B63" t="str">
            <v>281133S100</v>
          </cell>
          <cell r="C63" t="str">
            <v>Filtro de aire</v>
          </cell>
          <cell r="D63">
            <v>15.519999999999998</v>
          </cell>
          <cell r="E63">
            <v>18.313599999999997</v>
          </cell>
          <cell r="F63">
            <v>82.411199999999994</v>
          </cell>
          <cell r="G63">
            <v>82.411199999999994</v>
          </cell>
          <cell r="H63">
            <v>15.52</v>
          </cell>
          <cell r="I63">
            <v>10.86</v>
          </cell>
          <cell r="J63">
            <v>57.666599999999995</v>
          </cell>
        </row>
        <row r="64">
          <cell r="B64" t="str">
            <v>28113C1100</v>
          </cell>
          <cell r="C64" t="str">
            <v>Filtro de aire</v>
          </cell>
          <cell r="D64">
            <v>16.73</v>
          </cell>
          <cell r="E64">
            <v>19.741399999999999</v>
          </cell>
          <cell r="F64">
            <v>88.836299999999994</v>
          </cell>
          <cell r="G64">
            <v>88.836299999999994</v>
          </cell>
          <cell r="H64">
            <v>16.73</v>
          </cell>
          <cell r="I64">
            <v>11.71</v>
          </cell>
          <cell r="J64">
            <v>62.180100000000003</v>
          </cell>
        </row>
        <row r="65">
          <cell r="B65" t="str">
            <v>31453C1100</v>
          </cell>
          <cell r="C65" t="str">
            <v>Filtro de aire de tanque de combustible</v>
          </cell>
          <cell r="D65">
            <v>11.49</v>
          </cell>
          <cell r="E65">
            <v>13.558199999999999</v>
          </cell>
          <cell r="F65">
            <v>61.011899999999997</v>
          </cell>
          <cell r="G65">
            <v>61.011899999999997</v>
          </cell>
          <cell r="H65">
            <v>11.49</v>
          </cell>
          <cell r="I65">
            <v>8.0399999999999991</v>
          </cell>
          <cell r="J65">
            <v>42.692399999999992</v>
          </cell>
        </row>
        <row r="66">
          <cell r="B66" t="str">
            <v>31112C1000</v>
          </cell>
          <cell r="C66" t="str">
            <v>Filtro de combustible</v>
          </cell>
          <cell r="D66">
            <v>42.37</v>
          </cell>
          <cell r="E66">
            <v>49.996599999999994</v>
          </cell>
          <cell r="F66">
            <v>224.98469999999998</v>
          </cell>
          <cell r="G66">
            <v>224.98469999999998</v>
          </cell>
          <cell r="H66">
            <v>42.37</v>
          </cell>
          <cell r="I66">
            <v>29.66</v>
          </cell>
          <cell r="J66">
            <v>157.49459999999999</v>
          </cell>
        </row>
        <row r="67">
          <cell r="B67" t="str">
            <v>31112C1001</v>
          </cell>
          <cell r="C67" t="str">
            <v>Filtro de combustible</v>
          </cell>
          <cell r="D67">
            <v>29.93</v>
          </cell>
          <cell r="E67">
            <v>35.317399999999999</v>
          </cell>
          <cell r="F67">
            <v>158.92830000000001</v>
          </cell>
          <cell r="G67">
            <v>158.92830000000001</v>
          </cell>
          <cell r="H67">
            <v>29.93</v>
          </cell>
          <cell r="I67">
            <v>20.95</v>
          </cell>
          <cell r="J67">
            <v>111.24449999999999</v>
          </cell>
        </row>
        <row r="68">
          <cell r="B68" t="str">
            <v>28113F6200</v>
          </cell>
          <cell r="C68" t="str">
            <v>Filtro de aire</v>
          </cell>
          <cell r="D68">
            <v>18.96</v>
          </cell>
          <cell r="E68">
            <v>22.372799999999998</v>
          </cell>
          <cell r="F68">
            <v>100.6776</v>
          </cell>
          <cell r="G68">
            <v>100.6776</v>
          </cell>
          <cell r="H68">
            <v>18.96</v>
          </cell>
          <cell r="I68">
            <v>13.27</v>
          </cell>
          <cell r="J68">
            <v>70.463699999999989</v>
          </cell>
        </row>
        <row r="69">
          <cell r="B69" t="str">
            <v>31112J3001</v>
          </cell>
          <cell r="C69" t="str">
            <v>Filtro de combustible</v>
          </cell>
          <cell r="D69">
            <v>71.900000000000006</v>
          </cell>
          <cell r="E69">
            <v>84.841999999999999</v>
          </cell>
          <cell r="F69">
            <v>381.78899999999999</v>
          </cell>
          <cell r="G69">
            <v>381.78899999999999</v>
          </cell>
          <cell r="H69">
            <v>71.900000000000006</v>
          </cell>
          <cell r="I69">
            <v>50.33</v>
          </cell>
          <cell r="J69">
            <v>267.25229999999999</v>
          </cell>
        </row>
        <row r="70">
          <cell r="B70" t="str">
            <v>263203C30A</v>
          </cell>
          <cell r="C70" t="str">
            <v>Elemento filtro de aceite</v>
          </cell>
          <cell r="D70">
            <v>10.79</v>
          </cell>
          <cell r="E70">
            <v>12.732199999999999</v>
          </cell>
          <cell r="F70">
            <v>57.294899999999991</v>
          </cell>
          <cell r="G70">
            <v>57.294899999999991</v>
          </cell>
          <cell r="H70">
            <v>10.79</v>
          </cell>
          <cell r="I70">
            <v>7.55</v>
          </cell>
          <cell r="J70">
            <v>40.090499999999999</v>
          </cell>
        </row>
        <row r="71">
          <cell r="B71" t="str">
            <v>281133M000</v>
          </cell>
          <cell r="C71" t="str">
            <v>Filtro de aire</v>
          </cell>
          <cell r="D71">
            <v>18.97</v>
          </cell>
          <cell r="E71">
            <v>22.384599999999995</v>
          </cell>
          <cell r="F71">
            <v>100.73069999999998</v>
          </cell>
          <cell r="G71">
            <v>100.73069999999998</v>
          </cell>
          <cell r="H71">
            <v>18.97</v>
          </cell>
          <cell r="I71">
            <v>13.28</v>
          </cell>
          <cell r="J71">
            <v>70.516799999999989</v>
          </cell>
        </row>
        <row r="72">
          <cell r="B72" t="str">
            <v>314533M100</v>
          </cell>
          <cell r="C72" t="str">
            <v>Filtro de aire de tanque de combustible</v>
          </cell>
          <cell r="D72">
            <v>31.100000000000009</v>
          </cell>
          <cell r="E72">
            <v>36.698000000000008</v>
          </cell>
          <cell r="F72">
            <v>165.14100000000002</v>
          </cell>
          <cell r="G72">
            <v>165.14100000000002</v>
          </cell>
          <cell r="H72">
            <v>31.1</v>
          </cell>
          <cell r="I72">
            <v>21.77</v>
          </cell>
          <cell r="J72">
            <v>115.59869999999999</v>
          </cell>
        </row>
        <row r="73">
          <cell r="B73" t="str">
            <v>311123T100</v>
          </cell>
          <cell r="C73" t="str">
            <v>Filtro de combustible</v>
          </cell>
          <cell r="D73">
            <v>21.129999999999995</v>
          </cell>
          <cell r="E73">
            <v>24.933399999999995</v>
          </cell>
          <cell r="F73">
            <v>112.20029999999998</v>
          </cell>
          <cell r="G73">
            <v>112.20029999999998</v>
          </cell>
          <cell r="H73">
            <v>21.13</v>
          </cell>
          <cell r="I73">
            <v>14.79</v>
          </cell>
          <cell r="J73">
            <v>78.534899999999993</v>
          </cell>
        </row>
        <row r="74">
          <cell r="B74" t="str">
            <v>28113J5100</v>
          </cell>
          <cell r="C74" t="str">
            <v>Filtro de aire</v>
          </cell>
          <cell r="D74">
            <v>28.479999999999997</v>
          </cell>
          <cell r="E74">
            <v>33.606399999999994</v>
          </cell>
          <cell r="F74">
            <v>151.22879999999998</v>
          </cell>
          <cell r="G74">
            <v>151.22879999999998</v>
          </cell>
          <cell r="H74">
            <v>28.48</v>
          </cell>
          <cell r="I74">
            <v>19.940000000000001</v>
          </cell>
          <cell r="J74">
            <v>105.8814</v>
          </cell>
        </row>
        <row r="75">
          <cell r="B75" t="str">
            <v>31453J5000</v>
          </cell>
          <cell r="C75" t="str">
            <v>Filtro de aire de tanque de combustible</v>
          </cell>
          <cell r="D75">
            <v>42.76</v>
          </cell>
          <cell r="E75">
            <v>50.456799999999994</v>
          </cell>
          <cell r="F75">
            <v>227.05559999999997</v>
          </cell>
          <cell r="G75">
            <v>227.05559999999997</v>
          </cell>
          <cell r="H75">
            <v>42.76</v>
          </cell>
          <cell r="I75">
            <v>29.93</v>
          </cell>
          <cell r="J75">
            <v>158.92830000000001</v>
          </cell>
        </row>
        <row r="76">
          <cell r="B76">
            <v>1885709085</v>
          </cell>
          <cell r="C76" t="str">
            <v>Bujía</v>
          </cell>
          <cell r="D76">
            <v>16.46</v>
          </cell>
          <cell r="E76">
            <v>19.422799999999999</v>
          </cell>
          <cell r="F76">
            <v>87.402599999999993</v>
          </cell>
          <cell r="G76">
            <v>302.66999999999996</v>
          </cell>
          <cell r="H76">
            <v>57</v>
          </cell>
          <cell r="I76">
            <v>12.57</v>
          </cell>
          <cell r="J76">
            <v>66.74669999999999</v>
          </cell>
        </row>
        <row r="77">
          <cell r="B77" t="str">
            <v>31110J5000</v>
          </cell>
          <cell r="C77" t="str">
            <v>Conjunto Filtro de combustible</v>
          </cell>
          <cell r="D77">
            <v>471.83000000000004</v>
          </cell>
          <cell r="E77">
            <v>556.75940000000003</v>
          </cell>
          <cell r="F77">
            <v>2505.4173000000001</v>
          </cell>
          <cell r="G77">
            <v>2505.4173000000001</v>
          </cell>
          <cell r="H77">
            <v>471.83</v>
          </cell>
          <cell r="I77">
            <v>330.28</v>
          </cell>
          <cell r="J77">
            <v>1753.7867999999996</v>
          </cell>
        </row>
        <row r="78">
          <cell r="B78" t="str">
            <v>263203LTA0</v>
          </cell>
          <cell r="C78" t="str">
            <v xml:space="preserve">Elemento filtro de aceite </v>
          </cell>
          <cell r="D78">
            <v>13.38</v>
          </cell>
          <cell r="E78">
            <v>15.788399999999999</v>
          </cell>
          <cell r="F78">
            <v>71.047799999999995</v>
          </cell>
          <cell r="G78">
            <v>71.047799999999995</v>
          </cell>
          <cell r="H78">
            <v>13.38</v>
          </cell>
          <cell r="I78">
            <v>9.3699999999999992</v>
          </cell>
          <cell r="J78">
            <v>49.7547</v>
          </cell>
        </row>
        <row r="79">
          <cell r="B79" t="str">
            <v>28113J5350</v>
          </cell>
          <cell r="C79" t="str">
            <v>Filtro de aire</v>
          </cell>
          <cell r="D79">
            <v>14.680000000000001</v>
          </cell>
          <cell r="E79">
            <v>17.322400000000002</v>
          </cell>
          <cell r="F79">
            <v>77.950800000000001</v>
          </cell>
          <cell r="G79">
            <v>77.950800000000001</v>
          </cell>
          <cell r="H79">
            <v>14.68</v>
          </cell>
          <cell r="I79">
            <v>10.28</v>
          </cell>
          <cell r="J79">
            <v>54.586799999999997</v>
          </cell>
        </row>
        <row r="80">
          <cell r="B80">
            <v>1885209070</v>
          </cell>
          <cell r="C80" t="str">
            <v>Bujía</v>
          </cell>
          <cell r="D80">
            <v>45.37</v>
          </cell>
          <cell r="E80">
            <v>53.536599999999993</v>
          </cell>
          <cell r="F80">
            <v>240.91469999999998</v>
          </cell>
          <cell r="G80">
            <v>240.91469999999998</v>
          </cell>
          <cell r="H80">
            <v>45.37</v>
          </cell>
          <cell r="I80">
            <v>31.76</v>
          </cell>
          <cell r="J80">
            <v>168.6456</v>
          </cell>
        </row>
        <row r="81">
          <cell r="B81" t="str">
            <v>31110J5100</v>
          </cell>
          <cell r="C81" t="str">
            <v>Conjunto Filtro de combustible</v>
          </cell>
          <cell r="D81">
            <v>471.83000000000004</v>
          </cell>
          <cell r="E81">
            <v>556.75940000000003</v>
          </cell>
          <cell r="F81">
            <v>2505.4173000000001</v>
          </cell>
          <cell r="G81">
            <v>2505.4173000000001</v>
          </cell>
          <cell r="H81">
            <v>471.83</v>
          </cell>
          <cell r="I81">
            <v>330.28</v>
          </cell>
          <cell r="J81">
            <v>1753.7867999999996</v>
          </cell>
        </row>
        <row r="82">
          <cell r="B82" t="str">
            <v>28113B2000</v>
          </cell>
          <cell r="C82" t="str">
            <v>Filtro de aire</v>
          </cell>
          <cell r="D82">
            <v>11.930000000000001</v>
          </cell>
          <cell r="E82">
            <v>14.077400000000001</v>
          </cell>
          <cell r="F82">
            <v>63.348300000000002</v>
          </cell>
          <cell r="G82">
            <v>63.348300000000002</v>
          </cell>
          <cell r="H82">
            <v>11.93</v>
          </cell>
          <cell r="I82">
            <v>8.35</v>
          </cell>
          <cell r="J82">
            <v>44.338499999999989</v>
          </cell>
        </row>
        <row r="83">
          <cell r="B83" t="str">
            <v>281133Z100</v>
          </cell>
          <cell r="C83" t="str">
            <v>Filtro de aire</v>
          </cell>
          <cell r="D83">
            <v>20.7</v>
          </cell>
          <cell r="E83">
            <v>24.425999999999998</v>
          </cell>
          <cell r="F83">
            <v>109.91699999999999</v>
          </cell>
          <cell r="G83">
            <v>109.91699999999999</v>
          </cell>
          <cell r="H83">
            <v>20.7</v>
          </cell>
          <cell r="I83">
            <v>14.49</v>
          </cell>
          <cell r="J83">
            <v>76.94189999999999</v>
          </cell>
        </row>
        <row r="84">
          <cell r="B84" t="str">
            <v>311512Z100</v>
          </cell>
          <cell r="C84" t="str">
            <v>Filtro de aire de tanque de combustible</v>
          </cell>
          <cell r="D84">
            <v>9.4899999999999984</v>
          </cell>
          <cell r="E84">
            <v>11.198199999999998</v>
          </cell>
          <cell r="F84">
            <v>50.391899999999993</v>
          </cell>
          <cell r="G84">
            <v>50.391899999999993</v>
          </cell>
          <cell r="H84">
            <v>9.49</v>
          </cell>
          <cell r="I84">
            <v>6.64</v>
          </cell>
          <cell r="J84">
            <v>35.258399999999995</v>
          </cell>
        </row>
        <row r="85">
          <cell r="B85" t="str">
            <v>281132S000</v>
          </cell>
          <cell r="C85" t="str">
            <v>Filtro de aire</v>
          </cell>
          <cell r="D85">
            <v>11.74</v>
          </cell>
          <cell r="E85">
            <v>13.853199999999999</v>
          </cell>
          <cell r="F85">
            <v>62.339399999999998</v>
          </cell>
          <cell r="G85">
            <v>62.339399999999998</v>
          </cell>
          <cell r="H85">
            <v>11.74</v>
          </cell>
          <cell r="I85">
            <v>8.2200000000000006</v>
          </cell>
          <cell r="J85">
            <v>43.648200000000003</v>
          </cell>
        </row>
        <row r="86">
          <cell r="B86" t="str">
            <v>31453D3000</v>
          </cell>
          <cell r="C86" t="str">
            <v>Filtro de aire de tanque de combustible</v>
          </cell>
          <cell r="D86">
            <v>31.83</v>
          </cell>
          <cell r="E86">
            <v>37.559399999999997</v>
          </cell>
          <cell r="F86">
            <v>169.01729999999998</v>
          </cell>
          <cell r="G86">
            <v>169.01729999999998</v>
          </cell>
          <cell r="H86">
            <v>31.83</v>
          </cell>
          <cell r="I86">
            <v>22.28</v>
          </cell>
          <cell r="J86">
            <v>118.3068</v>
          </cell>
        </row>
        <row r="87">
          <cell r="B87" t="str">
            <v>31112C9000</v>
          </cell>
          <cell r="C87" t="str">
            <v>Filtro de combustible</v>
          </cell>
          <cell r="D87">
            <v>28.29</v>
          </cell>
          <cell r="E87">
            <v>33.382199999999997</v>
          </cell>
          <cell r="F87">
            <v>150.2199</v>
          </cell>
          <cell r="G87">
            <v>150.2199</v>
          </cell>
          <cell r="H87">
            <v>28.29</v>
          </cell>
          <cell r="I87">
            <v>19.8</v>
          </cell>
          <cell r="J87">
            <v>105.13800000000001</v>
          </cell>
        </row>
        <row r="88">
          <cell r="B88" t="str">
            <v>281132J000</v>
          </cell>
          <cell r="C88" t="str">
            <v>Filtro de aire</v>
          </cell>
          <cell r="D88">
            <v>11.599999999999998</v>
          </cell>
          <cell r="E88">
            <v>13.687999999999997</v>
          </cell>
          <cell r="F88">
            <v>61.595999999999989</v>
          </cell>
          <cell r="G88">
            <v>61.595999999999989</v>
          </cell>
          <cell r="H88">
            <v>11.6</v>
          </cell>
          <cell r="I88">
            <v>8.1199999999999992</v>
          </cell>
          <cell r="J88">
            <v>43.117199999999997</v>
          </cell>
        </row>
        <row r="89">
          <cell r="B89" t="str">
            <v>314532J201</v>
          </cell>
          <cell r="C89" t="str">
            <v>Filtro de aire de tanque de combustible</v>
          </cell>
          <cell r="D89">
            <v>18.490000000000002</v>
          </cell>
          <cell r="E89">
            <v>21.818200000000001</v>
          </cell>
          <cell r="F89">
            <v>98.181899999999999</v>
          </cell>
          <cell r="G89">
            <v>98.181899999999999</v>
          </cell>
          <cell r="H89">
            <v>18.489999999999998</v>
          </cell>
          <cell r="I89">
            <v>12.94</v>
          </cell>
          <cell r="J89">
            <v>68.711399999999998</v>
          </cell>
        </row>
        <row r="90">
          <cell r="B90">
            <v>1884611060</v>
          </cell>
          <cell r="C90" t="str">
            <v>Bujías</v>
          </cell>
          <cell r="D90">
            <v>20.849999999999998</v>
          </cell>
          <cell r="E90">
            <v>24.602999999999998</v>
          </cell>
          <cell r="F90">
            <v>110.7135</v>
          </cell>
          <cell r="G90">
            <v>110.7135</v>
          </cell>
          <cell r="H90">
            <v>20.85</v>
          </cell>
          <cell r="I90">
            <v>14.6</v>
          </cell>
          <cell r="J90">
            <v>77.525999999999996</v>
          </cell>
        </row>
        <row r="91">
          <cell r="B91" t="str">
            <v>319112G000</v>
          </cell>
          <cell r="C91" t="str">
            <v>Filtro de combustible</v>
          </cell>
          <cell r="D91">
            <v>24.02</v>
          </cell>
          <cell r="E91">
            <v>28.343599999999999</v>
          </cell>
          <cell r="F91">
            <v>127.5462</v>
          </cell>
          <cell r="G91">
            <v>127.5462</v>
          </cell>
          <cell r="H91">
            <v>24.02</v>
          </cell>
          <cell r="I91">
            <v>16.809999999999999</v>
          </cell>
          <cell r="J91">
            <v>89.261099999999985</v>
          </cell>
        </row>
        <row r="92">
          <cell r="B92" t="str">
            <v>281132W100</v>
          </cell>
          <cell r="C92" t="str">
            <v>Filtro de aire</v>
          </cell>
          <cell r="D92">
            <v>12.319999999999999</v>
          </cell>
          <cell r="E92">
            <v>14.537599999999998</v>
          </cell>
          <cell r="F92">
            <v>65.419199999999989</v>
          </cell>
          <cell r="G92">
            <v>65.419199999999989</v>
          </cell>
          <cell r="H92">
            <v>12.32</v>
          </cell>
          <cell r="I92">
            <v>8.6199999999999992</v>
          </cell>
          <cell r="J92">
            <v>45.772199999999998</v>
          </cell>
        </row>
        <row r="93">
          <cell r="B93" t="str">
            <v>314532W100</v>
          </cell>
          <cell r="C93" t="str">
            <v>Filtro de aire de tanque de combustible</v>
          </cell>
          <cell r="D93">
            <v>30.32</v>
          </cell>
          <cell r="E93">
            <v>35.7776</v>
          </cell>
          <cell r="F93">
            <v>160.9992</v>
          </cell>
          <cell r="G93">
            <v>160.9992</v>
          </cell>
          <cell r="H93">
            <v>30.32</v>
          </cell>
          <cell r="I93">
            <v>21.22</v>
          </cell>
          <cell r="J93">
            <v>112.67819999999999</v>
          </cell>
        </row>
        <row r="94">
          <cell r="B94" t="str">
            <v>31112A7000</v>
          </cell>
          <cell r="C94" t="str">
            <v>Filtro de combustible</v>
          </cell>
          <cell r="D94">
            <v>37.800000000000004</v>
          </cell>
          <cell r="E94">
            <v>44.603999999999999</v>
          </cell>
          <cell r="F94">
            <v>200.71799999999999</v>
          </cell>
          <cell r="G94">
            <v>200.71799999999999</v>
          </cell>
          <cell r="H94">
            <v>37.799999999999997</v>
          </cell>
          <cell r="I94">
            <v>26.46</v>
          </cell>
          <cell r="J94">
            <v>140.5026</v>
          </cell>
        </row>
        <row r="95">
          <cell r="B95" t="str">
            <v>281131Y100</v>
          </cell>
          <cell r="C95" t="str">
            <v>Filtro de aire</v>
          </cell>
          <cell r="D95">
            <v>8.6599999999999984</v>
          </cell>
          <cell r="E95">
            <v>10.218799999999998</v>
          </cell>
          <cell r="F95">
            <v>45.984599999999993</v>
          </cell>
          <cell r="G95">
            <v>45.984599999999993</v>
          </cell>
          <cell r="H95">
            <v>8.66</v>
          </cell>
          <cell r="I95">
            <v>6.06</v>
          </cell>
          <cell r="J95">
            <v>32.178599999999996</v>
          </cell>
        </row>
        <row r="96">
          <cell r="B96" t="str">
            <v>263502S000</v>
          </cell>
          <cell r="C96" t="str">
            <v>Elemento filtro de aceite</v>
          </cell>
          <cell r="D96">
            <v>15.090000000000002</v>
          </cell>
          <cell r="E96">
            <v>17.8062</v>
          </cell>
          <cell r="F96">
            <v>80.127899999999997</v>
          </cell>
          <cell r="G96">
            <v>80.127899999999997</v>
          </cell>
          <cell r="H96">
            <v>15.09</v>
          </cell>
          <cell r="I96">
            <v>10.56</v>
          </cell>
          <cell r="J96">
            <v>56.073599999999999</v>
          </cell>
        </row>
        <row r="97">
          <cell r="B97" t="str">
            <v>28113L1000</v>
          </cell>
          <cell r="C97" t="str">
            <v>Filtro de aire</v>
          </cell>
          <cell r="D97">
            <v>29.569999999999997</v>
          </cell>
          <cell r="E97">
            <v>34.892599999999995</v>
          </cell>
          <cell r="F97">
            <v>157.01669999999999</v>
          </cell>
          <cell r="G97">
            <v>157.01669999999999</v>
          </cell>
          <cell r="H97">
            <v>29.57</v>
          </cell>
          <cell r="I97">
            <v>20.7</v>
          </cell>
          <cell r="J97">
            <v>109.91699999999999</v>
          </cell>
        </row>
        <row r="98">
          <cell r="B98" t="str">
            <v>31454L1300</v>
          </cell>
          <cell r="C98" t="str">
            <v>Filtro de aire de tanque de combustible</v>
          </cell>
          <cell r="D98">
            <v>42.41</v>
          </cell>
          <cell r="E98">
            <v>50.04379999999999</v>
          </cell>
          <cell r="F98">
            <v>225.19709999999995</v>
          </cell>
          <cell r="G98">
            <v>225.19709999999995</v>
          </cell>
          <cell r="H98">
            <v>42.41</v>
          </cell>
          <cell r="I98">
            <v>29.69</v>
          </cell>
          <cell r="J98">
            <v>157.65390000000002</v>
          </cell>
        </row>
        <row r="99">
          <cell r="B99" t="str">
            <v>31112L1000</v>
          </cell>
          <cell r="C99" t="str">
            <v>Filtro de combustible</v>
          </cell>
          <cell r="D99">
            <v>30.81</v>
          </cell>
          <cell r="E99">
            <v>36.355799999999995</v>
          </cell>
          <cell r="F99">
            <v>163.60109999999997</v>
          </cell>
          <cell r="G99">
            <v>163.60109999999997</v>
          </cell>
          <cell r="H99">
            <v>30.81</v>
          </cell>
          <cell r="I99">
            <v>21.57</v>
          </cell>
          <cell r="J99">
            <v>114.5367</v>
          </cell>
        </row>
        <row r="100">
          <cell r="B100" t="str">
            <v>263502M000</v>
          </cell>
          <cell r="C100" t="str">
            <v>Filtro de aceite</v>
          </cell>
          <cell r="D100">
            <v>10.5</v>
          </cell>
          <cell r="E100">
            <v>12.389999999999999</v>
          </cell>
          <cell r="F100">
            <v>55.754999999999995</v>
          </cell>
          <cell r="G100">
            <v>55.754999999999995</v>
          </cell>
          <cell r="H100">
            <v>10.5</v>
          </cell>
          <cell r="I100">
            <v>7.35</v>
          </cell>
          <cell r="J100">
            <v>39.028499999999994</v>
          </cell>
        </row>
        <row r="101">
          <cell r="B101" t="str">
            <v>28113G2100</v>
          </cell>
          <cell r="C101" t="str">
            <v>Filtro de aire</v>
          </cell>
          <cell r="D101">
            <v>19.14</v>
          </cell>
          <cell r="E101">
            <v>22.5852</v>
          </cell>
          <cell r="F101">
            <v>101.63339999999999</v>
          </cell>
          <cell r="G101">
            <v>101.63339999999999</v>
          </cell>
          <cell r="H101">
            <v>19.14</v>
          </cell>
          <cell r="I101">
            <v>13.4</v>
          </cell>
          <cell r="J101">
            <v>71.153999999999996</v>
          </cell>
        </row>
        <row r="102">
          <cell r="B102" t="str">
            <v>31453G2100</v>
          </cell>
          <cell r="C102" t="str">
            <v>Filtro de aire de tanque de combustible</v>
          </cell>
          <cell r="D102">
            <v>25.77</v>
          </cell>
          <cell r="E102">
            <v>30.408599999999996</v>
          </cell>
          <cell r="F102">
            <v>136.83869999999999</v>
          </cell>
          <cell r="G102">
            <v>136.83869999999999</v>
          </cell>
          <cell r="H102">
            <v>25.77</v>
          </cell>
          <cell r="I102">
            <v>18.04</v>
          </cell>
          <cell r="J102">
            <v>95.792399999999986</v>
          </cell>
        </row>
        <row r="103">
          <cell r="B103" t="str">
            <v>31112C3500</v>
          </cell>
          <cell r="C103" t="str">
            <v>Filtro de combustible</v>
          </cell>
          <cell r="D103">
            <v>41.23</v>
          </cell>
          <cell r="E103">
            <v>48.651399999999995</v>
          </cell>
          <cell r="F103">
            <v>218.93129999999999</v>
          </cell>
          <cell r="G103">
            <v>218.93129999999999</v>
          </cell>
          <cell r="H103">
            <v>41.23</v>
          </cell>
          <cell r="I103">
            <v>28.86</v>
          </cell>
          <cell r="J103">
            <v>153.2466</v>
          </cell>
        </row>
        <row r="104">
          <cell r="B104" t="str">
            <v>2521203HA0</v>
          </cell>
          <cell r="C104" t="str">
            <v>Correa HSG (motor de arranque y generador híbridos)</v>
          </cell>
          <cell r="D104">
            <v>142.01</v>
          </cell>
          <cell r="E104">
            <v>167.5718</v>
          </cell>
          <cell r="F104">
            <v>754.07309999999995</v>
          </cell>
          <cell r="G104">
            <v>754.07309999999995</v>
          </cell>
          <cell r="H104">
            <v>142.01</v>
          </cell>
          <cell r="I104">
            <v>99.41</v>
          </cell>
          <cell r="J104">
            <v>527.86709999999994</v>
          </cell>
        </row>
        <row r="105">
          <cell r="B105" t="str">
            <v>263203N000</v>
          </cell>
          <cell r="C105" t="str">
            <v>Elemento filtro de aceite</v>
          </cell>
          <cell r="D105">
            <v>10.5</v>
          </cell>
          <cell r="E105">
            <v>12.389999999999999</v>
          </cell>
          <cell r="F105">
            <v>55.754999999999995</v>
          </cell>
          <cell r="G105">
            <v>55.754999999999995</v>
          </cell>
          <cell r="H105">
            <v>10.5</v>
          </cell>
          <cell r="I105">
            <v>7.35</v>
          </cell>
          <cell r="J105">
            <v>39.028499999999994</v>
          </cell>
        </row>
        <row r="106">
          <cell r="B106">
            <v>1887508085</v>
          </cell>
          <cell r="C106" t="str">
            <v>Bujía</v>
          </cell>
          <cell r="D106">
            <v>21.39</v>
          </cell>
          <cell r="E106">
            <v>25.240199999999998</v>
          </cell>
          <cell r="F106">
            <v>113.58089999999999</v>
          </cell>
          <cell r="G106">
            <v>113.58089999999999</v>
          </cell>
          <cell r="H106">
            <v>21.39</v>
          </cell>
          <cell r="I106">
            <v>14.97</v>
          </cell>
          <cell r="J106">
            <v>79.490700000000004</v>
          </cell>
        </row>
        <row r="107">
          <cell r="B107" t="str">
            <v>263502J000</v>
          </cell>
          <cell r="C107" t="str">
            <v>Filtro de aceite</v>
          </cell>
          <cell r="D107">
            <v>12.33</v>
          </cell>
          <cell r="E107">
            <v>14.549399999999999</v>
          </cell>
          <cell r="F107">
            <v>65.47229999999999</v>
          </cell>
          <cell r="G107">
            <v>65.47229999999999</v>
          </cell>
          <cell r="H107">
            <v>12.33</v>
          </cell>
          <cell r="I107">
            <v>8.6300000000000008</v>
          </cell>
          <cell r="J107">
            <v>45.825299999999999</v>
          </cell>
        </row>
        <row r="108">
          <cell r="B108" t="str">
            <v>28113N9000</v>
          </cell>
          <cell r="C108" t="str">
            <v>Filtro de aire</v>
          </cell>
          <cell r="D108">
            <v>16.949999999999996</v>
          </cell>
          <cell r="E108">
            <v>20.000999999999994</v>
          </cell>
          <cell r="F108">
            <v>90.004499999999979</v>
          </cell>
          <cell r="G108">
            <v>90.004499999999979</v>
          </cell>
          <cell r="H108">
            <v>16.95</v>
          </cell>
          <cell r="I108">
            <v>11.87</v>
          </cell>
          <cell r="J108">
            <v>63.029699999999998</v>
          </cell>
        </row>
        <row r="109">
          <cell r="B109" t="str">
            <v>263202R000</v>
          </cell>
          <cell r="C109" t="str">
            <v>Elemento filtro de aceite</v>
          </cell>
          <cell r="D109">
            <v>21.36</v>
          </cell>
          <cell r="E109">
            <v>25.204799999999999</v>
          </cell>
          <cell r="F109">
            <v>113.4216</v>
          </cell>
          <cell r="G109">
            <v>113.4216</v>
          </cell>
          <cell r="H109">
            <v>21.36</v>
          </cell>
          <cell r="I109">
            <v>14.95</v>
          </cell>
          <cell r="J109">
            <v>79.384499999999989</v>
          </cell>
        </row>
        <row r="110">
          <cell r="B110" t="str">
            <v>31920P2900</v>
          </cell>
          <cell r="C110" t="str">
            <v>Filtro de combustible</v>
          </cell>
          <cell r="D110">
            <v>53.910000000000004</v>
          </cell>
          <cell r="E110">
            <v>63.613799999999998</v>
          </cell>
          <cell r="F110">
            <v>286.26209999999998</v>
          </cell>
          <cell r="G110">
            <v>286.26209999999998</v>
          </cell>
          <cell r="H110">
            <v>53.91</v>
          </cell>
          <cell r="I110">
            <v>37.74</v>
          </cell>
          <cell r="J110">
            <v>200.39940000000001</v>
          </cell>
        </row>
        <row r="111">
          <cell r="B111" t="str">
            <v>281134E500</v>
          </cell>
          <cell r="C111" t="str">
            <v>Flitro de aire</v>
          </cell>
          <cell r="D111">
            <v>15.690000000000003</v>
          </cell>
          <cell r="E111">
            <v>18.514200000000002</v>
          </cell>
          <cell r="F111">
            <v>83.313900000000004</v>
          </cell>
          <cell r="G111">
            <v>83.313900000000004</v>
          </cell>
          <cell r="H111">
            <v>15.69</v>
          </cell>
          <cell r="I111">
            <v>10.98</v>
          </cell>
          <cell r="J111">
            <v>58.303800000000003</v>
          </cell>
        </row>
        <row r="112">
          <cell r="B112" t="str">
            <v>319224H900</v>
          </cell>
          <cell r="C112" t="str">
            <v>Filtro de combustible</v>
          </cell>
          <cell r="D112">
            <v>40.14</v>
          </cell>
          <cell r="E112">
            <v>47.365199999999994</v>
          </cell>
          <cell r="F112">
            <v>213.14339999999999</v>
          </cell>
          <cell r="G112">
            <v>213.14339999999999</v>
          </cell>
          <cell r="H112">
            <v>40.14</v>
          </cell>
          <cell r="I112">
            <v>28.1</v>
          </cell>
          <cell r="J112">
            <v>149.21099999999998</v>
          </cell>
        </row>
        <row r="113">
          <cell r="B113" t="str">
            <v>252124A600</v>
          </cell>
          <cell r="C113" t="str">
            <v>Faja  múltiple</v>
          </cell>
          <cell r="D113">
            <v>67.540000000000006</v>
          </cell>
          <cell r="E113">
            <v>79.697200000000009</v>
          </cell>
          <cell r="F113">
            <v>358.63740000000001</v>
          </cell>
          <cell r="G113">
            <v>358.63740000000001</v>
          </cell>
          <cell r="H113">
            <v>67.540000000000006</v>
          </cell>
          <cell r="I113">
            <v>47.28</v>
          </cell>
          <cell r="J113">
            <v>251.05679999999998</v>
          </cell>
        </row>
        <row r="114">
          <cell r="B114">
            <v>2630035600</v>
          </cell>
          <cell r="C114" t="str">
            <v>Filtro de aceite</v>
          </cell>
          <cell r="D114">
            <v>11.58</v>
          </cell>
          <cell r="E114">
            <v>13.664399999999999</v>
          </cell>
          <cell r="F114">
            <v>61.489799999999995</v>
          </cell>
          <cell r="G114">
            <v>61.489799999999995</v>
          </cell>
          <cell r="H114">
            <v>11.58</v>
          </cell>
          <cell r="I114">
            <v>8.11</v>
          </cell>
          <cell r="J114">
            <v>43.064099999999996</v>
          </cell>
        </row>
        <row r="115">
          <cell r="B115" t="str">
            <v>28113C7000</v>
          </cell>
          <cell r="C115" t="str">
            <v>Filtro de aire</v>
          </cell>
          <cell r="D115">
            <v>17.399999999999999</v>
          </cell>
          <cell r="E115">
            <v>20.531999999999996</v>
          </cell>
          <cell r="F115">
            <v>92.393999999999991</v>
          </cell>
          <cell r="G115">
            <v>92.393999999999991</v>
          </cell>
          <cell r="H115">
            <v>17.399999999999999</v>
          </cell>
          <cell r="I115">
            <v>12.18</v>
          </cell>
          <cell r="J115">
            <v>64.675799999999995</v>
          </cell>
        </row>
        <row r="116">
          <cell r="B116">
            <v>1886808115</v>
          </cell>
          <cell r="C116" t="str">
            <v>Bujía</v>
          </cell>
          <cell r="D116">
            <v>25.990000000000002</v>
          </cell>
          <cell r="E116">
            <v>30.668199999999999</v>
          </cell>
          <cell r="F116">
            <v>138.0069</v>
          </cell>
          <cell r="G116">
            <v>138.0069</v>
          </cell>
          <cell r="H116">
            <v>25.99</v>
          </cell>
          <cell r="I116">
            <v>18.190000000000001</v>
          </cell>
          <cell r="J116">
            <v>96.588899999999995</v>
          </cell>
        </row>
        <row r="117">
          <cell r="B117" t="str">
            <v>31112C0000</v>
          </cell>
          <cell r="C117" t="str">
            <v>Filtro de combustible</v>
          </cell>
          <cell r="D117">
            <v>32.020000000000003</v>
          </cell>
          <cell r="E117">
            <v>37.7836</v>
          </cell>
          <cell r="F117">
            <v>170.02619999999999</v>
          </cell>
          <cell r="G117">
            <v>170.02619999999999</v>
          </cell>
          <cell r="H117">
            <v>32.020000000000003</v>
          </cell>
          <cell r="I117">
            <v>22.41</v>
          </cell>
          <cell r="J117">
            <v>118.99709999999999</v>
          </cell>
        </row>
        <row r="118">
          <cell r="B118" t="str">
            <v>28113AT100</v>
          </cell>
          <cell r="C118" t="str">
            <v>Filtro de aire</v>
          </cell>
          <cell r="D118">
            <v>60.099999999999994</v>
          </cell>
          <cell r="E118">
            <v>70.917999999999992</v>
          </cell>
          <cell r="F118">
            <v>319.13099999999997</v>
          </cell>
          <cell r="G118">
            <v>319.13099999999997</v>
          </cell>
          <cell r="H118">
            <v>60.1</v>
          </cell>
          <cell r="I118">
            <v>42.07</v>
          </cell>
          <cell r="J118">
            <v>223.39169999999999</v>
          </cell>
        </row>
        <row r="119">
          <cell r="B119" t="str">
            <v>31174AT100</v>
          </cell>
          <cell r="C119" t="str">
            <v>Filtro de aire de tanque de combustible</v>
          </cell>
          <cell r="D119">
            <v>89.88</v>
          </cell>
          <cell r="E119">
            <v>106.05839999999999</v>
          </cell>
          <cell r="F119">
            <v>477.26279999999997</v>
          </cell>
          <cell r="G119">
            <v>477.26279999999997</v>
          </cell>
          <cell r="H119">
            <v>89.88</v>
          </cell>
          <cell r="I119">
            <v>62.92</v>
          </cell>
          <cell r="J119">
            <v>334.10519999999997</v>
          </cell>
        </row>
        <row r="120">
          <cell r="B120" t="str">
            <v>2521208HA0</v>
          </cell>
          <cell r="C120" t="str">
            <v>Correa HSG (motor de arranque y generador híbridos)</v>
          </cell>
          <cell r="D120">
            <v>134.82999999999998</v>
          </cell>
          <cell r="E120">
            <v>159.09939999999997</v>
          </cell>
          <cell r="F120">
            <v>715.94729999999993</v>
          </cell>
          <cell r="G120">
            <v>715.94729999999993</v>
          </cell>
          <cell r="H120">
            <v>134.83000000000001</v>
          </cell>
          <cell r="I120">
            <v>94.38</v>
          </cell>
          <cell r="J120">
            <v>501.15779999999995</v>
          </cell>
        </row>
        <row r="121">
          <cell r="B121" t="str">
            <v>263202F100</v>
          </cell>
          <cell r="C121" t="str">
            <v>Elemento filtro de aceite</v>
          </cell>
          <cell r="D121">
            <v>17.840000000000003</v>
          </cell>
          <cell r="E121">
            <v>21.051200000000001</v>
          </cell>
          <cell r="F121">
            <v>94.730400000000003</v>
          </cell>
          <cell r="G121">
            <v>94.730400000000003</v>
          </cell>
          <cell r="H121">
            <v>17.84</v>
          </cell>
          <cell r="I121">
            <v>12.49</v>
          </cell>
          <cell r="J121">
            <v>66.321899999999999</v>
          </cell>
        </row>
        <row r="122">
          <cell r="B122" t="str">
            <v>28113A9200</v>
          </cell>
          <cell r="C122" t="str">
            <v>Filtro de aire</v>
          </cell>
          <cell r="D122">
            <v>69.05</v>
          </cell>
          <cell r="E122">
            <v>81.478999999999985</v>
          </cell>
          <cell r="F122">
            <v>366.65549999999996</v>
          </cell>
          <cell r="G122">
            <v>366.65549999999996</v>
          </cell>
          <cell r="H122">
            <v>69.05</v>
          </cell>
          <cell r="I122">
            <v>48.34</v>
          </cell>
          <cell r="J122">
            <v>256.68540000000002</v>
          </cell>
        </row>
        <row r="123">
          <cell r="B123" t="str">
            <v>31922A9000</v>
          </cell>
          <cell r="C123" t="str">
            <v>Filtro de combustible</v>
          </cell>
          <cell r="D123">
            <v>142.54</v>
          </cell>
          <cell r="E123">
            <v>168.19719999999998</v>
          </cell>
          <cell r="F123">
            <v>756.88739999999996</v>
          </cell>
          <cell r="G123">
            <v>756.88739999999996</v>
          </cell>
          <cell r="H123">
            <v>142.54</v>
          </cell>
          <cell r="I123">
            <v>99.78</v>
          </cell>
          <cell r="J123">
            <v>529.83179999999993</v>
          </cell>
        </row>
        <row r="124">
          <cell r="B124" t="str">
            <v>97133AO000</v>
          </cell>
          <cell r="C124" t="str">
            <v>Filtro de aire del control del climatizador</v>
          </cell>
          <cell r="D124">
            <v>42.41</v>
          </cell>
          <cell r="E124">
            <v>50.04379999999999</v>
          </cell>
          <cell r="F124">
            <v>225.19709999999995</v>
          </cell>
          <cell r="G124">
            <v>225.19709999999995</v>
          </cell>
          <cell r="H124">
            <v>42.41</v>
          </cell>
          <cell r="I124">
            <v>29.69</v>
          </cell>
          <cell r="J124">
            <v>157.65390000000002</v>
          </cell>
        </row>
        <row r="125">
          <cell r="B125">
            <v>1887411080</v>
          </cell>
          <cell r="C125" t="str">
            <v>Bujía</v>
          </cell>
          <cell r="D125">
            <v>27.74</v>
          </cell>
          <cell r="E125">
            <v>32.733199999999997</v>
          </cell>
          <cell r="F125">
            <v>147.29939999999999</v>
          </cell>
          <cell r="G125">
            <v>147.29939999999999</v>
          </cell>
          <cell r="H125">
            <v>27.74</v>
          </cell>
          <cell r="I125">
            <v>19.420000000000002</v>
          </cell>
          <cell r="J125">
            <v>103.12020000000001</v>
          </cell>
        </row>
        <row r="126">
          <cell r="B126" t="str">
            <v>31184C9000</v>
          </cell>
          <cell r="C126" t="str">
            <v>Filtro de aire de tanque de combustible</v>
          </cell>
          <cell r="D126">
            <v>111.93000000000002</v>
          </cell>
          <cell r="E126">
            <v>132.07740000000001</v>
          </cell>
          <cell r="F126">
            <v>594.34829999999999</v>
          </cell>
          <cell r="G126">
            <v>594.34829999999999</v>
          </cell>
          <cell r="H126">
            <v>111.93</v>
          </cell>
          <cell r="I126">
            <v>78.349999999999994</v>
          </cell>
          <cell r="J126">
            <v>416.03849999999994</v>
          </cell>
        </row>
        <row r="127">
          <cell r="B127" t="str">
            <v>28113BC100</v>
          </cell>
          <cell r="C127" t="str">
            <v>Filtro de aire</v>
          </cell>
          <cell r="D127">
            <v>39.94</v>
          </cell>
          <cell r="E127">
            <v>47.129199999999997</v>
          </cell>
          <cell r="F127">
            <v>212.08139999999997</v>
          </cell>
          <cell r="G127">
            <v>212.08139999999997</v>
          </cell>
          <cell r="H127">
            <v>39.94</v>
          </cell>
          <cell r="I127">
            <v>27.96</v>
          </cell>
          <cell r="J127">
            <v>148.4676</v>
          </cell>
        </row>
        <row r="128">
          <cell r="B128">
            <v>1887111075</v>
          </cell>
          <cell r="C128" t="str">
            <v>Bujía</v>
          </cell>
          <cell r="D128">
            <v>40</v>
          </cell>
          <cell r="E128">
            <v>47.199999999999996</v>
          </cell>
          <cell r="F128">
            <v>212.39999999999998</v>
          </cell>
          <cell r="G128">
            <v>212.39999999999998</v>
          </cell>
          <cell r="H128">
            <v>40</v>
          </cell>
          <cell r="I128">
            <v>28</v>
          </cell>
          <cell r="J128">
            <v>148.67999999999998</v>
          </cell>
        </row>
        <row r="129">
          <cell r="B129">
            <v>1887208085</v>
          </cell>
          <cell r="C129" t="str">
            <v>Bujía</v>
          </cell>
          <cell r="D129">
            <v>50.62</v>
          </cell>
          <cell r="E129">
            <v>59.731599999999993</v>
          </cell>
          <cell r="F129">
            <v>268.79219999999998</v>
          </cell>
          <cell r="G129">
            <v>268.79219999999998</v>
          </cell>
          <cell r="H129">
            <v>50.62</v>
          </cell>
          <cell r="I129">
            <v>35.43</v>
          </cell>
          <cell r="J129">
            <v>188.13329999999999</v>
          </cell>
        </row>
        <row r="130">
          <cell r="B130">
            <v>2630002752</v>
          </cell>
          <cell r="C130" t="str">
            <v>Filtro de aceite</v>
          </cell>
          <cell r="D130">
            <v>12.33</v>
          </cell>
          <cell r="E130">
            <v>14.549399999999999</v>
          </cell>
          <cell r="F130">
            <v>65.47229999999999</v>
          </cell>
          <cell r="G130">
            <v>65.47229999999999</v>
          </cell>
          <cell r="H130">
            <v>12.33</v>
          </cell>
          <cell r="I130">
            <v>8.6300000000000008</v>
          </cell>
          <cell r="J130">
            <v>45.825299999999999</v>
          </cell>
        </row>
        <row r="131">
          <cell r="B131" t="str">
            <v>28113IX100</v>
          </cell>
          <cell r="C131" t="str">
            <v>Filtro de aire</v>
          </cell>
          <cell r="D131">
            <v>27.33</v>
          </cell>
          <cell r="E131">
            <v>32.249399999999994</v>
          </cell>
          <cell r="F131">
            <v>145.12229999999997</v>
          </cell>
          <cell r="G131">
            <v>145.12229999999997</v>
          </cell>
          <cell r="H131">
            <v>27.33</v>
          </cell>
          <cell r="I131">
            <v>19.13</v>
          </cell>
          <cell r="J131">
            <v>101.58029999999999</v>
          </cell>
        </row>
        <row r="132">
          <cell r="B132" t="str">
            <v>97133R4000</v>
          </cell>
          <cell r="C132" t="str">
            <v>Filtro de aire del control del climatizador</v>
          </cell>
          <cell r="D132">
            <v>18.989999999999998</v>
          </cell>
          <cell r="E132">
            <v>22.408199999999997</v>
          </cell>
          <cell r="F132">
            <v>100.83689999999999</v>
          </cell>
          <cell r="G132">
            <v>419.48999999999995</v>
          </cell>
          <cell r="H132">
            <v>79</v>
          </cell>
          <cell r="I132" t="e">
            <v>#N/A</v>
          </cell>
          <cell r="J132" t="e">
            <v>#N/A</v>
          </cell>
        </row>
        <row r="133">
          <cell r="B133" t="str">
            <v>SKP214145</v>
          </cell>
          <cell r="C133" t="str">
            <v>Líquido del engranaje de reducción</v>
          </cell>
          <cell r="D133">
            <v>25.9</v>
          </cell>
          <cell r="E133">
            <v>30.561999999999998</v>
          </cell>
          <cell r="F133">
            <v>137.529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</row>
        <row r="134">
          <cell r="B134" t="str">
            <v>263202R001</v>
          </cell>
          <cell r="C134" t="str">
            <v>Elemento filtro de aceite</v>
          </cell>
          <cell r="D134">
            <v>19.400000000000002</v>
          </cell>
          <cell r="E134">
            <v>22.891999999999999</v>
          </cell>
          <cell r="F134">
            <v>103.014</v>
          </cell>
          <cell r="G134">
            <v>103.014</v>
          </cell>
          <cell r="H134">
            <v>19.399999999999999</v>
          </cell>
          <cell r="I134">
            <v>13.58</v>
          </cell>
          <cell r="J134">
            <v>72.109799999999993</v>
          </cell>
        </row>
        <row r="135">
          <cell r="B135" t="str">
            <v>28113DV000</v>
          </cell>
          <cell r="C135" t="str">
            <v>Filtro de aire</v>
          </cell>
          <cell r="D135">
            <v>29.570000000000004</v>
          </cell>
          <cell r="E135">
            <v>34.892600000000002</v>
          </cell>
          <cell r="F135">
            <v>157.01670000000001</v>
          </cell>
          <cell r="G135">
            <v>292.05</v>
          </cell>
          <cell r="H135">
            <v>55</v>
          </cell>
          <cell r="I135" t="e">
            <v>#N/A</v>
          </cell>
          <cell r="J135" t="e">
            <v>#N/A</v>
          </cell>
        </row>
        <row r="136">
          <cell r="B136" t="str">
            <v>31922CG950</v>
          </cell>
          <cell r="C136" t="str">
            <v>Filtro de combustible</v>
          </cell>
          <cell r="D136">
            <v>53.910000000000004</v>
          </cell>
          <cell r="E136">
            <v>63.613799999999998</v>
          </cell>
          <cell r="F136">
            <v>286.26209999999998</v>
          </cell>
          <cell r="G136" t="e">
            <v>#N/A</v>
          </cell>
          <cell r="H136" t="e">
            <v>#N/A</v>
          </cell>
          <cell r="I136" t="e">
            <v>#N/A</v>
          </cell>
          <cell r="J136" t="e">
            <v>#N/A</v>
          </cell>
        </row>
        <row r="137">
          <cell r="B137" t="str">
            <v>28113P0400</v>
          </cell>
          <cell r="C137" t="str">
            <v>Filtro de aire</v>
          </cell>
          <cell r="D137">
            <v>16.95</v>
          </cell>
          <cell r="E137">
            <v>20.000999999999998</v>
          </cell>
          <cell r="F137">
            <v>90.004499999999993</v>
          </cell>
          <cell r="G137">
            <v>217.70999999999998</v>
          </cell>
          <cell r="H137">
            <v>41</v>
          </cell>
          <cell r="I137" t="e">
            <v>#N/A</v>
          </cell>
          <cell r="J137" t="e">
            <v>#N/A</v>
          </cell>
        </row>
        <row r="138">
          <cell r="B138" t="str">
            <v>252122MHA0</v>
          </cell>
          <cell r="C138" t="str">
            <v>Correa HSG (motor de arranque y generador híbridos)</v>
          </cell>
          <cell r="D138">
            <v>134.83000000000001</v>
          </cell>
          <cell r="E138">
            <v>159.0994</v>
          </cell>
          <cell r="F138">
            <v>715.94730000000004</v>
          </cell>
          <cell r="G138">
            <v>361.08</v>
          </cell>
          <cell r="H138">
            <v>68</v>
          </cell>
          <cell r="I138" t="e">
            <v>#N/A</v>
          </cell>
          <cell r="J138" t="e">
            <v>#N/A</v>
          </cell>
        </row>
        <row r="141">
          <cell r="B141" t="str">
            <v>Repuestos de sistema a gas:</v>
          </cell>
          <cell r="F141" t="str">
            <v>PVP (S/. inc. IGV)</v>
          </cell>
          <cell r="G141" t="str">
            <v>Nuevo precio de venta (inc.igv)</v>
          </cell>
          <cell r="I141" t="str">
            <v>Costo (sin igv)</v>
          </cell>
          <cell r="J141" t="str">
            <v>Costo (con igv)</v>
          </cell>
        </row>
        <row r="142">
          <cell r="B142" t="str">
            <v>3010198004</v>
          </cell>
          <cell r="C142" t="str">
            <v>Filtro de fase gaseosa</v>
          </cell>
          <cell r="D142">
            <v>6.42</v>
          </cell>
          <cell r="E142">
            <v>7.5755999999999997</v>
          </cell>
          <cell r="F142">
            <v>42.7986</v>
          </cell>
          <cell r="G142">
            <v>42.7986</v>
          </cell>
          <cell r="H142">
            <v>8.06</v>
          </cell>
          <cell r="I142">
            <v>5.64</v>
          </cell>
          <cell r="J142">
            <v>29.948399999999996</v>
          </cell>
        </row>
        <row r="143">
          <cell r="B143" t="str">
            <v>3010251004</v>
          </cell>
          <cell r="C143" t="str">
            <v>Kit de reparación ACW01</v>
          </cell>
          <cell r="D143">
            <v>19.23</v>
          </cell>
          <cell r="E143">
            <v>22.691399999999998</v>
          </cell>
          <cell r="F143">
            <v>153.1935</v>
          </cell>
          <cell r="G143">
            <v>153.1935</v>
          </cell>
          <cell r="H143">
            <v>28.85</v>
          </cell>
          <cell r="I143">
            <v>20.2</v>
          </cell>
          <cell r="J143">
            <v>107.26199999999999</v>
          </cell>
        </row>
        <row r="144">
          <cell r="B144" t="str">
            <v>3010158004</v>
          </cell>
          <cell r="C144" t="str">
            <v>Kit de reparación AT 12</v>
          </cell>
          <cell r="D144">
            <v>26.46</v>
          </cell>
          <cell r="E144">
            <v>31.222799999999999</v>
          </cell>
          <cell r="F144">
            <v>140.3964</v>
          </cell>
          <cell r="G144">
            <v>140.3964</v>
          </cell>
          <cell r="H144">
            <v>26.44</v>
          </cell>
          <cell r="I144">
            <v>18.510000000000002</v>
          </cell>
          <cell r="J144">
            <v>98.2881</v>
          </cell>
        </row>
        <row r="145">
          <cell r="B145" t="str">
            <v>3010287004</v>
          </cell>
          <cell r="C145" t="str">
            <v>Filtro incorporado en la electroválvula (fase lÍquida)</v>
          </cell>
          <cell r="D145">
            <v>5.13</v>
          </cell>
          <cell r="E145">
            <v>6.0533999999999999</v>
          </cell>
          <cell r="F145">
            <v>27.240300000000001</v>
          </cell>
          <cell r="G145">
            <v>27.240300000000001</v>
          </cell>
          <cell r="H145">
            <v>5.13</v>
          </cell>
          <cell r="I145">
            <v>3.59</v>
          </cell>
          <cell r="J145">
            <v>19.062899999999999</v>
          </cell>
        </row>
        <row r="146">
          <cell r="B146" t="str">
            <v>3010358004</v>
          </cell>
          <cell r="C146" t="str">
            <v>Kit de reparación AC R02</v>
          </cell>
          <cell r="D146">
            <v>19.23</v>
          </cell>
          <cell r="E146">
            <v>22.691399999999998</v>
          </cell>
          <cell r="F146">
            <v>153.3528</v>
          </cell>
          <cell r="G146">
            <v>153.3528</v>
          </cell>
          <cell r="H146">
            <v>28.88</v>
          </cell>
          <cell r="I146">
            <v>20.22</v>
          </cell>
          <cell r="J146">
            <v>107.36819999999999</v>
          </cell>
        </row>
        <row r="151">
          <cell r="B151" t="str">
            <v>-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ejandro Agüero Barreto" id="{94A5464D-BD01-4C9F-B676-47D6ECDEFEA7}" userId="S::aaguero@santaclara.com.pe::4266dd29-5499-4dd9-90b6-6ddde1dfe46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5-29T18:29:49.44" personId="{94A5464D-BD01-4C9F-B676-47D6ECDEFEA7}" id="{48E175AF-87BD-49F9-BACB-26C3C5FAD7D0}">
    <text>Códigos sin costo en Precios (se calculan como 0):
- 28113P0400
- LIQUIDOFRENO
- LIQUIDOREFRI
- LIQUIDO ACTUADOR EMBRAGUE
Ver hoja 'Alerta Costos'.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5-29T18:29:49.51" personId="{94A5464D-BD01-4C9F-B676-47D6ECDEFEA7}" id="{404DD869-B71C-4E48-B4C7-4CBB83AE20A1}">
    <text>Códigos sin costo en Precios (se calculan como 0):
- LIQUIDOFRENO
- LIQUIDOREFRI
- LIQUIDO ACTUADOR EMBRAGUE
Ver hoja 'Alerta Costos'.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5-29T18:29:49.50" personId="{94A5464D-BD01-4C9F-B676-47D6ECDEFEA7}" id="{2F1B62F0-BE0A-4BE3-9F33-24D192866637}">
    <text>Códigos sin costo en Precios (se calculan como 0):
- LIQUIDOFRENO
- LIQUIDOREFRI
- LIQUIDO ACTUADOR EMBRAGUE
Ver hoja 'Alerta Costos'.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5-29T18:29:49.51" personId="{94A5464D-BD01-4C9F-B676-47D6ECDEFEA7}" id="{A740427E-E947-4A7E-B5CC-2DD6ED06D888}">
    <text>Códigos sin costo en Precios (se calculan como 0):
- LIQUIDOFRENO
- LIQUIDOREFRI
Ver hoja 'Alerta Costos'.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5-29T18:29:49.51" personId="{94A5464D-BD01-4C9F-B676-47D6ECDEFEA7}" id="{F0A1C617-F8D0-4A9F-9012-464E5374684F}">
    <text>Códigos sin costo en Precios (se calculan como 0):
- 97133R4000
- LIQUIDOFRENO
- LIQUIDOREFRI
- SKP214145
Ver hoja 'Alerta Costos'.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5-29T18:29:49.52" personId="{94A5464D-BD01-4C9F-B676-47D6ECDEFEA7}" id="{0606BD5F-AEAB-4B19-9663-BA88B6E9828F}">
    <text>Códigos sin costo en Precios (se calculan como 0):
- 97133R4000
- LIQUIDOFRENO
- LIQUIDOREFRI
- SK ATF SP4M-1
Ver hoja 'Alerta Costos'.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9B48-0FC4-4A76-A496-FE0AAEF9652D}">
  <dimension ref="A1:L40"/>
  <sheetViews>
    <sheetView topLeftCell="A20" zoomScale="104" workbookViewId="0">
      <selection activeCell="J31" sqref="J31"/>
    </sheetView>
  </sheetViews>
  <sheetFormatPr baseColWidth="10" defaultRowHeight="14.4" x14ac:dyDescent="0.3"/>
  <sheetData>
    <row r="1" spans="1:12" ht="18" x14ac:dyDescent="0.35">
      <c r="A1" s="211" t="s">
        <v>0</v>
      </c>
      <c r="B1" s="211"/>
      <c r="C1" s="211"/>
      <c r="D1" s="211"/>
      <c r="E1" s="211"/>
      <c r="F1" s="211"/>
      <c r="G1" s="1" t="s">
        <v>1</v>
      </c>
      <c r="H1" s="2">
        <v>0.3</v>
      </c>
      <c r="J1" s="207" t="s">
        <v>2</v>
      </c>
      <c r="K1" s="207"/>
      <c r="L1" s="3">
        <v>3.4</v>
      </c>
    </row>
    <row r="2" spans="1:12" x14ac:dyDescent="0.3">
      <c r="G2" s="208" t="s">
        <v>3</v>
      </c>
      <c r="H2" s="209"/>
      <c r="I2" s="208" t="s">
        <v>4</v>
      </c>
      <c r="J2" s="210"/>
      <c r="K2" s="210"/>
      <c r="L2" s="209"/>
    </row>
    <row r="3" spans="1:12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14</v>
      </c>
      <c r="H3" s="7" t="s">
        <v>15</v>
      </c>
      <c r="I3" s="8" t="s">
        <v>16</v>
      </c>
      <c r="J3" s="9" t="s">
        <v>17</v>
      </c>
      <c r="K3" s="10" t="s">
        <v>18</v>
      </c>
      <c r="L3" s="7" t="s">
        <v>19</v>
      </c>
    </row>
    <row r="4" spans="1:12" x14ac:dyDescent="0.3">
      <c r="A4" s="11">
        <v>1</v>
      </c>
      <c r="B4" s="12" t="s">
        <v>20</v>
      </c>
      <c r="C4" s="13">
        <v>1</v>
      </c>
      <c r="D4" s="14" t="s">
        <v>21</v>
      </c>
      <c r="E4" s="14" t="s">
        <v>11</v>
      </c>
      <c r="F4" s="14" t="s">
        <v>22</v>
      </c>
      <c r="G4" s="15">
        <v>672.40994407794108</v>
      </c>
      <c r="H4" s="16">
        <v>1090.0317294799265</v>
      </c>
      <c r="I4" s="15">
        <v>1452.9440989020588</v>
      </c>
      <c r="J4" s="17">
        <v>1056.6590572176469</v>
      </c>
      <c r="K4" s="17">
        <v>1561.0291165030881</v>
      </c>
      <c r="L4" s="16">
        <v>1136.4464947088234</v>
      </c>
    </row>
    <row r="5" spans="1:12" x14ac:dyDescent="0.3">
      <c r="A5" s="18">
        <v>2</v>
      </c>
      <c r="B5" s="19" t="s">
        <v>20</v>
      </c>
      <c r="C5" s="20">
        <v>1.2</v>
      </c>
      <c r="D5" s="21" t="s">
        <v>21</v>
      </c>
      <c r="E5" s="21" t="s">
        <v>11</v>
      </c>
      <c r="F5" s="21" t="s">
        <v>22</v>
      </c>
      <c r="G5" s="22">
        <v>696.29428919852921</v>
      </c>
      <c r="H5" s="23">
        <v>1126.7611919153676</v>
      </c>
      <c r="I5" s="22">
        <v>1490.5357595727939</v>
      </c>
      <c r="J5" s="24">
        <v>1081.6351799852939</v>
      </c>
      <c r="K5" s="24">
        <v>1598.8503565855881</v>
      </c>
      <c r="L5" s="23">
        <v>1161.6412645352939</v>
      </c>
    </row>
    <row r="6" spans="1:12" x14ac:dyDescent="0.3">
      <c r="A6" s="11">
        <v>3</v>
      </c>
      <c r="B6" s="12" t="s">
        <v>20</v>
      </c>
      <c r="C6" s="13">
        <v>1.2</v>
      </c>
      <c r="D6" s="14" t="s">
        <v>23</v>
      </c>
      <c r="E6" s="14" t="s">
        <v>11</v>
      </c>
      <c r="F6" s="14" t="s">
        <v>22</v>
      </c>
      <c r="G6" s="15">
        <v>696.29428919852921</v>
      </c>
      <c r="H6" s="16">
        <v>1126.7611919153676</v>
      </c>
      <c r="I6" s="15">
        <v>1490.5357595727939</v>
      </c>
      <c r="J6" s="17">
        <v>1081.6351799852939</v>
      </c>
      <c r="K6" s="17">
        <v>1598.8503565855881</v>
      </c>
      <c r="L6" s="16">
        <v>1161.6412645352939</v>
      </c>
    </row>
    <row r="7" spans="1:12" x14ac:dyDescent="0.3">
      <c r="A7" s="18">
        <v>4</v>
      </c>
      <c r="B7" s="19" t="s">
        <v>24</v>
      </c>
      <c r="C7" s="20">
        <v>1</v>
      </c>
      <c r="D7" s="21" t="s">
        <v>21</v>
      </c>
      <c r="E7" s="21" t="s">
        <v>11</v>
      </c>
      <c r="F7" s="21" t="s">
        <v>22</v>
      </c>
      <c r="G7" s="22">
        <v>672.40994407794108</v>
      </c>
      <c r="H7" s="23">
        <v>1090.0317294799265</v>
      </c>
      <c r="I7" s="22">
        <v>1452.9440989020588</v>
      </c>
      <c r="J7" s="24">
        <v>1056.6590572176469</v>
      </c>
      <c r="K7" s="24">
        <v>1561.0291165030881</v>
      </c>
      <c r="L7" s="23">
        <v>1136.4464947088234</v>
      </c>
    </row>
    <row r="8" spans="1:12" x14ac:dyDescent="0.3">
      <c r="A8" s="11">
        <v>5</v>
      </c>
      <c r="B8" s="12" t="s">
        <v>24</v>
      </c>
      <c r="C8" s="13">
        <v>1.2</v>
      </c>
      <c r="D8" s="14" t="s">
        <v>21</v>
      </c>
      <c r="E8" s="14" t="s">
        <v>11</v>
      </c>
      <c r="F8" s="14" t="s">
        <v>22</v>
      </c>
      <c r="G8" s="15">
        <v>696.29428919852921</v>
      </c>
      <c r="H8" s="16">
        <v>1126.7611919153676</v>
      </c>
      <c r="I8" s="15">
        <v>1490.5357595727939</v>
      </c>
      <c r="J8" s="17">
        <v>1081.6351799852939</v>
      </c>
      <c r="K8" s="17">
        <v>1598.8503565855881</v>
      </c>
      <c r="L8" s="16">
        <v>1161.6412645352939</v>
      </c>
    </row>
    <row r="9" spans="1:12" x14ac:dyDescent="0.3">
      <c r="A9" s="18">
        <v>6</v>
      </c>
      <c r="B9" s="19" t="s">
        <v>24</v>
      </c>
      <c r="C9" s="20">
        <v>1.2</v>
      </c>
      <c r="D9" s="21" t="s">
        <v>23</v>
      </c>
      <c r="E9" s="21" t="s">
        <v>11</v>
      </c>
      <c r="F9" s="21" t="s">
        <v>22</v>
      </c>
      <c r="G9" s="22">
        <v>696.29428919852921</v>
      </c>
      <c r="H9" s="23">
        <v>1126.7611919153676</v>
      </c>
      <c r="I9" s="22">
        <v>1490.5357595727939</v>
      </c>
      <c r="J9" s="24">
        <v>1081.6351799852939</v>
      </c>
      <c r="K9" s="24">
        <v>1598.8503565855881</v>
      </c>
      <c r="L9" s="23">
        <v>1161.6412645352939</v>
      </c>
    </row>
    <row r="10" spans="1:12" x14ac:dyDescent="0.3">
      <c r="A10" s="11">
        <v>7</v>
      </c>
      <c r="B10" s="12" t="s">
        <v>25</v>
      </c>
      <c r="C10" s="13">
        <v>1.4</v>
      </c>
      <c r="D10" s="14" t="s">
        <v>21</v>
      </c>
      <c r="E10" s="14" t="s">
        <v>11</v>
      </c>
      <c r="F10" s="14" t="s">
        <v>22</v>
      </c>
      <c r="G10" s="15">
        <v>709.78150569117645</v>
      </c>
      <c r="H10" s="16">
        <v>1140.2484084080145</v>
      </c>
      <c r="I10" s="15">
        <v>1620.8611466352943</v>
      </c>
      <c r="J10" s="17">
        <v>1194.1038315294118</v>
      </c>
      <c r="K10" s="17">
        <v>1833.1203849190445</v>
      </c>
      <c r="L10" s="16">
        <v>1384.7555772338235</v>
      </c>
    </row>
    <row r="11" spans="1:12" x14ac:dyDescent="0.3">
      <c r="A11" s="18">
        <v>8</v>
      </c>
      <c r="B11" s="19" t="s">
        <v>25</v>
      </c>
      <c r="C11" s="20">
        <v>1.4</v>
      </c>
      <c r="D11" s="21" t="s">
        <v>23</v>
      </c>
      <c r="E11" s="21" t="s">
        <v>11</v>
      </c>
      <c r="F11" s="21" t="s">
        <v>22</v>
      </c>
      <c r="G11" s="22">
        <v>709.78150569117645</v>
      </c>
      <c r="H11" s="23">
        <v>1140.2484084080145</v>
      </c>
      <c r="I11" s="22">
        <v>1620.8611466352943</v>
      </c>
      <c r="J11" s="24">
        <v>1194.1038315294118</v>
      </c>
      <c r="K11" s="24">
        <v>1833.1203849190445</v>
      </c>
      <c r="L11" s="23">
        <v>1384.7555772338235</v>
      </c>
    </row>
    <row r="12" spans="1:12" x14ac:dyDescent="0.3">
      <c r="A12" s="11">
        <v>9</v>
      </c>
      <c r="B12" s="12" t="s">
        <v>25</v>
      </c>
      <c r="C12" s="13">
        <v>1.4</v>
      </c>
      <c r="D12" s="14" t="s">
        <v>21</v>
      </c>
      <c r="E12" s="14" t="s">
        <v>11</v>
      </c>
      <c r="F12" s="14" t="s">
        <v>26</v>
      </c>
      <c r="G12" s="15">
        <v>835.75243041911745</v>
      </c>
      <c r="H12" s="16">
        <v>1309.7643202061765</v>
      </c>
      <c r="I12" s="15">
        <v>1868.8118319628677</v>
      </c>
      <c r="J12" s="17">
        <v>1355.5475570514704</v>
      </c>
      <c r="K12" s="17">
        <v>2196.0168014554411</v>
      </c>
      <c r="L12" s="16">
        <v>1694.5466434029418</v>
      </c>
    </row>
    <row r="13" spans="1:12" x14ac:dyDescent="0.3">
      <c r="A13" s="18">
        <v>10</v>
      </c>
      <c r="B13" s="19" t="s">
        <v>25</v>
      </c>
      <c r="C13" s="20">
        <v>1.4</v>
      </c>
      <c r="D13" s="21" t="s">
        <v>23</v>
      </c>
      <c r="E13" s="21" t="s">
        <v>11</v>
      </c>
      <c r="F13" s="21" t="s">
        <v>26</v>
      </c>
      <c r="G13" s="22">
        <v>835.75243041911745</v>
      </c>
      <c r="H13" s="23">
        <v>1309.7643202061765</v>
      </c>
      <c r="I13" s="22">
        <v>1868.8118319628677</v>
      </c>
      <c r="J13" s="24">
        <v>1355.5475570514704</v>
      </c>
      <c r="K13" s="24">
        <v>2196.0168014554411</v>
      </c>
      <c r="L13" s="23">
        <v>1694.5466434029418</v>
      </c>
    </row>
    <row r="14" spans="1:12" x14ac:dyDescent="0.3">
      <c r="A14" s="11">
        <v>11</v>
      </c>
      <c r="B14" s="12" t="s">
        <v>25</v>
      </c>
      <c r="C14" s="13">
        <v>1.4</v>
      </c>
      <c r="D14" s="14" t="s">
        <v>21</v>
      </c>
      <c r="E14" s="14" t="s">
        <v>11</v>
      </c>
      <c r="F14" s="14" t="s">
        <v>27</v>
      </c>
      <c r="G14" s="15">
        <v>823.68057099999987</v>
      </c>
      <c r="H14" s="16">
        <v>1291.2001559043383</v>
      </c>
      <c r="I14" s="15">
        <v>1844.6393706022061</v>
      </c>
      <c r="J14" s="17">
        <v>1337.8674005735295</v>
      </c>
      <c r="K14" s="17">
        <v>2171.8443400947799</v>
      </c>
      <c r="L14" s="16">
        <v>1676.8664869250001</v>
      </c>
    </row>
    <row r="15" spans="1:12" x14ac:dyDescent="0.3">
      <c r="A15" s="18">
        <v>12</v>
      </c>
      <c r="B15" s="19" t="s">
        <v>25</v>
      </c>
      <c r="C15" s="20">
        <v>1.4</v>
      </c>
      <c r="D15" s="21" t="s">
        <v>23</v>
      </c>
      <c r="E15" s="21" t="s">
        <v>11</v>
      </c>
      <c r="F15" s="21" t="s">
        <v>27</v>
      </c>
      <c r="G15" s="22">
        <v>823.68057099999987</v>
      </c>
      <c r="H15" s="23">
        <v>1291.2001559043383</v>
      </c>
      <c r="I15" s="22">
        <v>1844.6393706022061</v>
      </c>
      <c r="J15" s="24">
        <v>1337.8674005735295</v>
      </c>
      <c r="K15" s="24">
        <v>2171.8443400947799</v>
      </c>
      <c r="L15" s="23">
        <v>1676.8664869250001</v>
      </c>
    </row>
    <row r="16" spans="1:12" x14ac:dyDescent="0.3">
      <c r="A16" s="11">
        <v>13</v>
      </c>
      <c r="B16" s="12" t="s">
        <v>28</v>
      </c>
      <c r="C16" s="13">
        <v>1.4</v>
      </c>
      <c r="D16" s="14" t="s">
        <v>21</v>
      </c>
      <c r="E16" s="14" t="s">
        <v>11</v>
      </c>
      <c r="F16" s="14" t="s">
        <v>22</v>
      </c>
      <c r="G16" s="15">
        <v>700.87439846323514</v>
      </c>
      <c r="H16" s="16">
        <v>1131.3413011800735</v>
      </c>
      <c r="I16" s="15">
        <v>1502.1323226720588</v>
      </c>
      <c r="J16" s="17">
        <v>1088.7230552058825</v>
      </c>
      <c r="K16" s="17">
        <v>1610.7473465341179</v>
      </c>
      <c r="L16" s="16">
        <v>1172.9717311529409</v>
      </c>
    </row>
    <row r="17" spans="1:12" x14ac:dyDescent="0.3">
      <c r="A17" s="18">
        <v>14</v>
      </c>
      <c r="B17" s="19" t="s">
        <v>28</v>
      </c>
      <c r="C17" s="20">
        <v>1.4</v>
      </c>
      <c r="D17" s="21" t="s">
        <v>23</v>
      </c>
      <c r="E17" s="21" t="s">
        <v>11</v>
      </c>
      <c r="F17" s="21" t="s">
        <v>22</v>
      </c>
      <c r="G17" s="22">
        <v>700.87439846323514</v>
      </c>
      <c r="H17" s="23">
        <v>1131.3413011800735</v>
      </c>
      <c r="I17" s="22">
        <v>1501.1782694330882</v>
      </c>
      <c r="J17" s="24">
        <v>1087.8144330735295</v>
      </c>
      <c r="K17" s="24">
        <v>1609.8387244017647</v>
      </c>
      <c r="L17" s="23">
        <v>1172.1063767411765</v>
      </c>
    </row>
    <row r="18" spans="1:12" x14ac:dyDescent="0.3">
      <c r="A18" s="11">
        <v>15</v>
      </c>
      <c r="B18" s="12" t="s">
        <v>29</v>
      </c>
      <c r="C18" s="13">
        <v>1.6</v>
      </c>
      <c r="D18" s="14" t="s">
        <v>21</v>
      </c>
      <c r="E18" s="14" t="s">
        <v>11</v>
      </c>
      <c r="F18" s="14" t="s">
        <v>22</v>
      </c>
      <c r="G18" s="15">
        <v>774.14555081911772</v>
      </c>
      <c r="H18" s="16">
        <v>1206.1603028011766</v>
      </c>
      <c r="I18" s="15">
        <v>1636.3140584622795</v>
      </c>
      <c r="J18" s="17">
        <v>1154.4025296279412</v>
      </c>
      <c r="K18" s="17">
        <v>1866.9053826824263</v>
      </c>
      <c r="L18" s="16">
        <v>1415.6272871485296</v>
      </c>
    </row>
    <row r="19" spans="1:12" x14ac:dyDescent="0.3">
      <c r="A19" s="18">
        <v>16</v>
      </c>
      <c r="B19" s="19" t="s">
        <v>29</v>
      </c>
      <c r="C19" s="20">
        <v>1.6</v>
      </c>
      <c r="D19" s="21" t="s">
        <v>23</v>
      </c>
      <c r="E19" s="21" t="s">
        <v>11</v>
      </c>
      <c r="F19" s="21" t="s">
        <v>22</v>
      </c>
      <c r="G19" s="22">
        <v>774.14555081911772</v>
      </c>
      <c r="H19" s="23">
        <v>1206.1603028011766</v>
      </c>
      <c r="I19" s="22">
        <v>1635.3600052233089</v>
      </c>
      <c r="J19" s="24">
        <v>1153.493907495588</v>
      </c>
      <c r="K19" s="24">
        <v>1865.9967605500735</v>
      </c>
      <c r="L19" s="23">
        <v>1414.7619327367649</v>
      </c>
    </row>
    <row r="20" spans="1:12" x14ac:dyDescent="0.3">
      <c r="A20" s="11">
        <v>17</v>
      </c>
      <c r="B20" s="12" t="s">
        <v>30</v>
      </c>
      <c r="C20" s="13">
        <v>1.4</v>
      </c>
      <c r="D20" s="14" t="s">
        <v>21</v>
      </c>
      <c r="E20" s="14" t="s">
        <v>11</v>
      </c>
      <c r="F20" s="14" t="s">
        <v>22</v>
      </c>
      <c r="G20" s="15">
        <v>732.39278195588224</v>
      </c>
      <c r="H20" s="16">
        <v>1162.8596846727207</v>
      </c>
      <c r="I20" s="15">
        <v>1559.3766493889707</v>
      </c>
      <c r="J20" s="17">
        <v>1116.0146968970589</v>
      </c>
      <c r="K20" s="17">
        <v>1671.1332908925738</v>
      </c>
      <c r="L20" s="16">
        <v>1230.4821543514704</v>
      </c>
    </row>
    <row r="21" spans="1:12" x14ac:dyDescent="0.3">
      <c r="A21" s="18">
        <v>18</v>
      </c>
      <c r="B21" s="19" t="s">
        <v>30</v>
      </c>
      <c r="C21" s="20">
        <v>1.4</v>
      </c>
      <c r="D21" s="21" t="s">
        <v>23</v>
      </c>
      <c r="E21" s="21" t="s">
        <v>11</v>
      </c>
      <c r="F21" s="21" t="s">
        <v>22</v>
      </c>
      <c r="G21" s="22">
        <v>732.39278195588224</v>
      </c>
      <c r="H21" s="23">
        <v>1162.8596846727207</v>
      </c>
      <c r="I21" s="22">
        <v>1561.2847558669118</v>
      </c>
      <c r="J21" s="24">
        <v>1117.8319411617649</v>
      </c>
      <c r="K21" s="24">
        <v>1672.9505351572795</v>
      </c>
      <c r="L21" s="23">
        <v>1232.2128631749999</v>
      </c>
    </row>
    <row r="22" spans="1:12" x14ac:dyDescent="0.3">
      <c r="A22" s="11">
        <v>19</v>
      </c>
      <c r="B22" s="12" t="s">
        <v>30</v>
      </c>
      <c r="C22" s="13">
        <v>1.4</v>
      </c>
      <c r="D22" s="14" t="s">
        <v>21</v>
      </c>
      <c r="E22" s="14" t="s">
        <v>11</v>
      </c>
      <c r="F22" s="14" t="s">
        <v>26</v>
      </c>
      <c r="G22" s="15">
        <v>858.36370668382358</v>
      </c>
      <c r="H22" s="16">
        <v>1332.3755964708823</v>
      </c>
      <c r="I22" s="15">
        <v>1807.3273347165443</v>
      </c>
      <c r="J22" s="17">
        <v>1277.4584224191178</v>
      </c>
      <c r="K22" s="17">
        <v>2034.0297074289711</v>
      </c>
      <c r="L22" s="16">
        <v>1540.2732205205882</v>
      </c>
    </row>
    <row r="23" spans="1:12" x14ac:dyDescent="0.3">
      <c r="A23" s="18">
        <v>20</v>
      </c>
      <c r="B23" s="19" t="s">
        <v>30</v>
      </c>
      <c r="C23" s="20">
        <v>1.4</v>
      </c>
      <c r="D23" s="21" t="s">
        <v>23</v>
      </c>
      <c r="E23" s="21" t="s">
        <v>11</v>
      </c>
      <c r="F23" s="21" t="s">
        <v>26</v>
      </c>
      <c r="G23" s="22">
        <v>858.36370668382358</v>
      </c>
      <c r="H23" s="23">
        <v>1332.3755964708823</v>
      </c>
      <c r="I23" s="22">
        <v>1807.3273347165443</v>
      </c>
      <c r="J23" s="24">
        <v>1277.4584224191178</v>
      </c>
      <c r="K23" s="24">
        <v>2034.0297074289711</v>
      </c>
      <c r="L23" s="23">
        <v>1540.2732205205882</v>
      </c>
    </row>
    <row r="24" spans="1:12" x14ac:dyDescent="0.3">
      <c r="A24" s="11">
        <v>21</v>
      </c>
      <c r="B24" s="12" t="s">
        <v>30</v>
      </c>
      <c r="C24" s="13">
        <v>1.4</v>
      </c>
      <c r="D24" s="14" t="s">
        <v>21</v>
      </c>
      <c r="E24" s="14" t="s">
        <v>11</v>
      </c>
      <c r="F24" s="14" t="s">
        <v>27</v>
      </c>
      <c r="G24" s="15">
        <v>812.68397226470586</v>
      </c>
      <c r="H24" s="16">
        <v>1243.1508749815439</v>
      </c>
      <c r="I24" s="15">
        <v>1712.4943161683825</v>
      </c>
      <c r="J24" s="17">
        <v>1192.4824971911764</v>
      </c>
      <c r="K24" s="17">
        <v>1939.4735194403677</v>
      </c>
      <c r="L24" s="16">
        <v>1486.0442767779414</v>
      </c>
    </row>
    <row r="25" spans="1:12" x14ac:dyDescent="0.3">
      <c r="A25" s="18">
        <v>22</v>
      </c>
      <c r="B25" s="19" t="s">
        <v>30</v>
      </c>
      <c r="C25" s="20">
        <v>1.4</v>
      </c>
      <c r="D25" s="21" t="s">
        <v>23</v>
      </c>
      <c r="E25" s="21" t="s">
        <v>11</v>
      </c>
      <c r="F25" s="21" t="s">
        <v>27</v>
      </c>
      <c r="G25" s="22">
        <v>812.68397226470586</v>
      </c>
      <c r="H25" s="23">
        <v>1243.1508749815439</v>
      </c>
      <c r="I25" s="22">
        <v>1712.4943161683825</v>
      </c>
      <c r="J25" s="24">
        <v>1192.4824971911764</v>
      </c>
      <c r="K25" s="24">
        <v>1939.4735194403677</v>
      </c>
      <c r="L25" s="23">
        <v>1486.0442767779414</v>
      </c>
    </row>
    <row r="26" spans="1:12" x14ac:dyDescent="0.3">
      <c r="A26" s="11">
        <v>23</v>
      </c>
      <c r="B26" s="12" t="s">
        <v>30</v>
      </c>
      <c r="C26" s="13">
        <v>1.6</v>
      </c>
      <c r="D26" s="14" t="s">
        <v>21</v>
      </c>
      <c r="E26" s="14" t="s">
        <v>11</v>
      </c>
      <c r="F26" s="14" t="s">
        <v>22</v>
      </c>
      <c r="G26" s="15">
        <v>735.27086902499991</v>
      </c>
      <c r="H26" s="16">
        <v>1167.2856210070588</v>
      </c>
      <c r="I26" s="15">
        <v>1567.3495966166913</v>
      </c>
      <c r="J26" s="17">
        <v>1122.3035015397058</v>
      </c>
      <c r="K26" s="17">
        <v>1752.3890963136766</v>
      </c>
      <c r="L26" s="16">
        <v>1306.5641572735294</v>
      </c>
    </row>
    <row r="27" spans="1:12" x14ac:dyDescent="0.3">
      <c r="A27" s="18">
        <v>24</v>
      </c>
      <c r="B27" s="19" t="s">
        <v>30</v>
      </c>
      <c r="C27" s="20">
        <v>1.6</v>
      </c>
      <c r="D27" s="21" t="s">
        <v>23</v>
      </c>
      <c r="E27" s="21" t="s">
        <v>11</v>
      </c>
      <c r="F27" s="21" t="s">
        <v>22</v>
      </c>
      <c r="G27" s="22">
        <v>734.32364137794104</v>
      </c>
      <c r="H27" s="23">
        <v>1166.3383933599998</v>
      </c>
      <c r="I27" s="22">
        <v>1569.2577030946325</v>
      </c>
      <c r="J27" s="24">
        <v>1124.1207458044116</v>
      </c>
      <c r="K27" s="24">
        <v>1754.2063405783824</v>
      </c>
      <c r="L27" s="23">
        <v>1308.2948660970587</v>
      </c>
    </row>
    <row r="28" spans="1:12" x14ac:dyDescent="0.3">
      <c r="A28" s="11">
        <v>25</v>
      </c>
      <c r="B28" s="12" t="s">
        <v>30</v>
      </c>
      <c r="C28" s="13">
        <v>1.6</v>
      </c>
      <c r="D28" s="14" t="s">
        <v>21</v>
      </c>
      <c r="E28" s="14" t="s">
        <v>11</v>
      </c>
      <c r="F28" s="14" t="s">
        <v>26</v>
      </c>
      <c r="G28" s="15">
        <v>861.24179375294113</v>
      </c>
      <c r="H28" s="16">
        <v>1336.8015328052206</v>
      </c>
      <c r="I28" s="15">
        <v>1815.3002819442643</v>
      </c>
      <c r="J28" s="17">
        <v>1283.7472270617648</v>
      </c>
      <c r="K28" s="17">
        <v>2115.2855128500737</v>
      </c>
      <c r="L28" s="16">
        <v>1616.3552234426472</v>
      </c>
    </row>
    <row r="29" spans="1:12" x14ac:dyDescent="0.3">
      <c r="A29" s="18">
        <v>26</v>
      </c>
      <c r="B29" s="19" t="s">
        <v>30</v>
      </c>
      <c r="C29" s="20">
        <v>1.6</v>
      </c>
      <c r="D29" s="21" t="s">
        <v>23</v>
      </c>
      <c r="E29" s="21" t="s">
        <v>11</v>
      </c>
      <c r="F29" s="21" t="s">
        <v>26</v>
      </c>
      <c r="G29" s="22">
        <v>861.24179375294113</v>
      </c>
      <c r="H29" s="23">
        <v>1336.8015328052206</v>
      </c>
      <c r="I29" s="22">
        <v>1815.3002819442643</v>
      </c>
      <c r="J29" s="24">
        <v>1283.7472270617648</v>
      </c>
      <c r="K29" s="24">
        <v>2115.2855128500737</v>
      </c>
      <c r="L29" s="23">
        <v>1616.3552234426472</v>
      </c>
    </row>
    <row r="30" spans="1:12" x14ac:dyDescent="0.3">
      <c r="A30" s="11">
        <v>27</v>
      </c>
      <c r="B30" s="12" t="s">
        <v>105</v>
      </c>
      <c r="C30" s="13">
        <v>1.5</v>
      </c>
      <c r="D30" s="14" t="s">
        <v>21</v>
      </c>
      <c r="E30" s="14" t="s">
        <v>11</v>
      </c>
      <c r="F30" s="14" t="s">
        <v>22</v>
      </c>
      <c r="G30" s="15">
        <v>741.60946426617647</v>
      </c>
      <c r="H30" s="16">
        <v>1169.4122299176472</v>
      </c>
      <c r="I30" s="15">
        <v>1526.6437948397793</v>
      </c>
      <c r="J30" s="17">
        <v>1091.8178202955883</v>
      </c>
      <c r="K30" s="17">
        <v>1615.7466335500001</v>
      </c>
      <c r="L30" s="16">
        <v>1179.5321098235295</v>
      </c>
    </row>
    <row r="31" spans="1:12" x14ac:dyDescent="0.3">
      <c r="A31" s="18">
        <v>28</v>
      </c>
      <c r="B31" s="19" t="s">
        <v>105</v>
      </c>
      <c r="C31" s="20">
        <v>1.5</v>
      </c>
      <c r="D31" s="21" t="s">
        <v>32</v>
      </c>
      <c r="E31" s="21" t="s">
        <v>11</v>
      </c>
      <c r="F31" s="21" t="s">
        <v>22</v>
      </c>
      <c r="G31" s="22">
        <v>741.60946426617647</v>
      </c>
      <c r="H31" s="23">
        <v>1169.4122299176472</v>
      </c>
      <c r="I31" s="22">
        <v>1526.6437948397793</v>
      </c>
      <c r="J31" s="24">
        <v>1091.8178202955883</v>
      </c>
      <c r="K31" s="24">
        <v>1615.7466335500001</v>
      </c>
      <c r="L31" s="23">
        <v>1179.5321098235295</v>
      </c>
    </row>
    <row r="32" spans="1:12" x14ac:dyDescent="0.3">
      <c r="A32" s="11">
        <v>29</v>
      </c>
      <c r="B32" s="12" t="s">
        <v>33</v>
      </c>
      <c r="C32" s="13">
        <v>1.5</v>
      </c>
      <c r="D32" s="14" t="s">
        <v>21</v>
      </c>
      <c r="E32" s="14" t="s">
        <v>11</v>
      </c>
      <c r="F32" s="14" t="s">
        <v>22</v>
      </c>
      <c r="G32" s="15">
        <v>753.5780129499999</v>
      </c>
      <c r="H32" s="16">
        <v>1181.3807786014706</v>
      </c>
      <c r="I32" s="15">
        <v>1558.1944834353674</v>
      </c>
      <c r="J32" s="17">
        <v>1111.5272127955882</v>
      </c>
      <c r="K32" s="17">
        <v>1746.1584722698531</v>
      </c>
      <c r="L32" s="16">
        <v>1303.7338609852943</v>
      </c>
    </row>
    <row r="33" spans="1:12" x14ac:dyDescent="0.3">
      <c r="A33" s="18">
        <v>30</v>
      </c>
      <c r="B33" s="19" t="s">
        <v>33</v>
      </c>
      <c r="C33" s="20">
        <v>1.5</v>
      </c>
      <c r="D33" s="21" t="s">
        <v>32</v>
      </c>
      <c r="E33" s="21" t="s">
        <v>11</v>
      </c>
      <c r="F33" s="21" t="s">
        <v>22</v>
      </c>
      <c r="G33" s="22">
        <v>753.5780129499999</v>
      </c>
      <c r="H33" s="23">
        <v>1181.3807786014706</v>
      </c>
      <c r="I33" s="22">
        <v>1558.1944834353674</v>
      </c>
      <c r="J33" s="24">
        <v>1111.5272127955882</v>
      </c>
      <c r="K33" s="24">
        <v>1746.1584722698531</v>
      </c>
      <c r="L33" s="23">
        <v>1303.7338609852943</v>
      </c>
    </row>
    <row r="34" spans="1:12" x14ac:dyDescent="0.3">
      <c r="A34" s="11">
        <v>31</v>
      </c>
      <c r="B34" s="12" t="s">
        <v>33</v>
      </c>
      <c r="C34" s="13">
        <v>1.5</v>
      </c>
      <c r="D34" s="14" t="s">
        <v>21</v>
      </c>
      <c r="E34" s="14" t="s">
        <v>11</v>
      </c>
      <c r="F34" s="14" t="s">
        <v>26</v>
      </c>
      <c r="G34" s="15">
        <v>879.54893767794113</v>
      </c>
      <c r="H34" s="16">
        <v>1350.8966903996325</v>
      </c>
      <c r="I34" s="15">
        <v>1806.1451687629415</v>
      </c>
      <c r="J34" s="17">
        <v>1272.9709383176471</v>
      </c>
      <c r="K34" s="17">
        <v>2109.0548888062503</v>
      </c>
      <c r="L34" s="16">
        <v>1613.5249271544121</v>
      </c>
    </row>
    <row r="35" spans="1:12" x14ac:dyDescent="0.3">
      <c r="A35" s="18">
        <v>32</v>
      </c>
      <c r="B35" s="19" t="s">
        <v>33</v>
      </c>
      <c r="C35" s="20">
        <v>1.5</v>
      </c>
      <c r="D35" s="21" t="s">
        <v>32</v>
      </c>
      <c r="E35" s="21" t="s">
        <v>11</v>
      </c>
      <c r="F35" s="21" t="s">
        <v>26</v>
      </c>
      <c r="G35" s="22">
        <v>879.54893767794113</v>
      </c>
      <c r="H35" s="23">
        <v>1350.8966903996325</v>
      </c>
      <c r="I35" s="22">
        <v>1806.1451687629415</v>
      </c>
      <c r="J35" s="24">
        <v>1272.9709383176471</v>
      </c>
      <c r="K35" s="24">
        <v>2109.0548888062503</v>
      </c>
      <c r="L35" s="23">
        <v>1613.5249271544121</v>
      </c>
    </row>
    <row r="36" spans="1:12" x14ac:dyDescent="0.3">
      <c r="A36" s="11">
        <v>33</v>
      </c>
      <c r="B36" s="12" t="s">
        <v>34</v>
      </c>
      <c r="C36" s="13">
        <v>2.2000000000000002</v>
      </c>
      <c r="D36" s="14" t="s">
        <v>21</v>
      </c>
      <c r="E36" s="14" t="s">
        <v>11</v>
      </c>
      <c r="F36" s="14" t="s">
        <v>35</v>
      </c>
      <c r="G36" s="15">
        <v>1089.4008754382353</v>
      </c>
      <c r="H36" s="16">
        <v>1718.5904294207353</v>
      </c>
      <c r="I36" s="15">
        <v>2261.6564776333089</v>
      </c>
      <c r="J36" s="17">
        <v>1628.1724599308825</v>
      </c>
      <c r="K36" s="17">
        <v>2398.5320299608093</v>
      </c>
      <c r="L36" s="16">
        <v>1755.7656895985294</v>
      </c>
    </row>
    <row r="37" spans="1:12" x14ac:dyDescent="0.3">
      <c r="A37" s="18">
        <v>34</v>
      </c>
      <c r="B37" s="19" t="s">
        <v>34</v>
      </c>
      <c r="C37" s="20">
        <v>2.2000000000000002</v>
      </c>
      <c r="D37" s="21" t="s">
        <v>23</v>
      </c>
      <c r="E37" s="21" t="s">
        <v>11</v>
      </c>
      <c r="F37" s="21" t="s">
        <v>35</v>
      </c>
      <c r="G37" s="22">
        <v>1089.4008754382353</v>
      </c>
      <c r="H37" s="23">
        <v>1718.5904294207353</v>
      </c>
      <c r="I37" s="22">
        <v>2261.6564776333089</v>
      </c>
      <c r="J37" s="24">
        <v>1628.1724599308825</v>
      </c>
      <c r="K37" s="24">
        <v>2398.5320299608093</v>
      </c>
      <c r="L37" s="23">
        <v>1755.7656895985294</v>
      </c>
    </row>
    <row r="38" spans="1:12" x14ac:dyDescent="0.3">
      <c r="A38" s="11">
        <v>35</v>
      </c>
      <c r="B38" s="12" t="s">
        <v>36</v>
      </c>
      <c r="C38" s="13">
        <v>2.5</v>
      </c>
      <c r="D38" s="14" t="s">
        <v>21</v>
      </c>
      <c r="E38" s="14" t="s">
        <v>11</v>
      </c>
      <c r="F38" s="14" t="s">
        <v>35</v>
      </c>
      <c r="G38" s="15">
        <v>1126.5552755779413</v>
      </c>
      <c r="H38" s="16">
        <v>1685.8190023793384</v>
      </c>
      <c r="I38" s="15">
        <v>2355.3854082587504</v>
      </c>
      <c r="J38" s="17">
        <v>1687.1891552044121</v>
      </c>
      <c r="K38" s="17">
        <v>2466.6732135546322</v>
      </c>
      <c r="L38" s="16">
        <v>1879.6456274750003</v>
      </c>
    </row>
    <row r="39" spans="1:12" x14ac:dyDescent="0.3">
      <c r="A39" s="18">
        <v>36</v>
      </c>
      <c r="B39" s="19" t="s">
        <v>37</v>
      </c>
      <c r="C39" s="20">
        <v>2.5</v>
      </c>
      <c r="D39" s="21" t="s">
        <v>21</v>
      </c>
      <c r="E39" s="21" t="s">
        <v>11</v>
      </c>
      <c r="F39" s="21" t="s">
        <v>35</v>
      </c>
      <c r="G39" s="22">
        <v>1126.5552755779413</v>
      </c>
      <c r="H39" s="23">
        <v>1685.8190023793384</v>
      </c>
      <c r="I39" s="22">
        <v>2388.1002448558088</v>
      </c>
      <c r="J39" s="24">
        <v>1718.346142439706</v>
      </c>
      <c r="K39" s="24">
        <v>2497.8302007899265</v>
      </c>
      <c r="L39" s="23">
        <v>1909.3189486514707</v>
      </c>
    </row>
    <row r="40" spans="1:12" x14ac:dyDescent="0.3">
      <c r="A40" s="25">
        <v>37</v>
      </c>
      <c r="B40" s="26" t="s">
        <v>38</v>
      </c>
      <c r="C40" s="27">
        <v>2.5</v>
      </c>
      <c r="D40" s="28" t="s">
        <v>21</v>
      </c>
      <c r="E40" s="28" t="s">
        <v>11</v>
      </c>
      <c r="F40" s="28" t="s">
        <v>35</v>
      </c>
      <c r="G40" s="29">
        <v>1126.5552755779413</v>
      </c>
      <c r="H40" s="30">
        <v>1685.8190023793384</v>
      </c>
      <c r="I40" s="29">
        <v>2355.3854082587504</v>
      </c>
      <c r="J40" s="31">
        <v>1687.1891552044121</v>
      </c>
      <c r="K40" s="31">
        <v>2466.6732135546322</v>
      </c>
      <c r="L40" s="30">
        <v>1879.6456274750003</v>
      </c>
    </row>
  </sheetData>
  <mergeCells count="4">
    <mergeCell ref="J1:K1"/>
    <mergeCell ref="G2:H2"/>
    <mergeCell ref="I2:L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F0D6-A731-447D-A2E4-9BC14FEF887D}">
  <dimension ref="A1:L62"/>
  <sheetViews>
    <sheetView zoomScale="96" zoomScaleNormal="96" workbookViewId="0">
      <selection activeCell="I2" sqref="I2:L3"/>
    </sheetView>
  </sheetViews>
  <sheetFormatPr baseColWidth="10" defaultRowHeight="14.4" x14ac:dyDescent="0.3"/>
  <cols>
    <col min="2" max="2" width="19.6640625" bestFit="1" customWidth="1"/>
  </cols>
  <sheetData>
    <row r="1" spans="1:12" ht="18" x14ac:dyDescent="0.35">
      <c r="A1" s="211" t="s">
        <v>39</v>
      </c>
      <c r="B1" s="211"/>
      <c r="C1" s="211"/>
      <c r="D1" s="211"/>
      <c r="E1" s="211"/>
      <c r="F1" s="211"/>
      <c r="G1" s="1" t="s">
        <v>1</v>
      </c>
      <c r="H1" s="2">
        <v>0.3</v>
      </c>
      <c r="J1" s="207" t="s">
        <v>2</v>
      </c>
      <c r="K1" s="207"/>
      <c r="L1" s="3">
        <v>3.4</v>
      </c>
    </row>
    <row r="2" spans="1:12" x14ac:dyDescent="0.3">
      <c r="G2" s="208" t="s">
        <v>3</v>
      </c>
      <c r="H2" s="209"/>
      <c r="I2" s="208" t="s">
        <v>4</v>
      </c>
      <c r="J2" s="210"/>
      <c r="K2" s="210"/>
      <c r="L2" s="209"/>
    </row>
    <row r="3" spans="1:12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14</v>
      </c>
      <c r="H3" s="7" t="s">
        <v>15</v>
      </c>
      <c r="I3" s="32" t="s">
        <v>16</v>
      </c>
      <c r="J3" s="33" t="s">
        <v>17</v>
      </c>
      <c r="K3" s="34" t="s">
        <v>18</v>
      </c>
      <c r="L3" s="35" t="s">
        <v>19</v>
      </c>
    </row>
    <row r="4" spans="1:12" x14ac:dyDescent="0.3">
      <c r="A4" s="11">
        <v>1</v>
      </c>
      <c r="B4" s="12" t="s">
        <v>40</v>
      </c>
      <c r="C4" s="13">
        <v>1</v>
      </c>
      <c r="D4" s="14" t="s">
        <v>21</v>
      </c>
      <c r="E4" s="14" t="s">
        <v>12</v>
      </c>
      <c r="F4" s="14" t="s">
        <v>22</v>
      </c>
      <c r="G4" s="15">
        <v>647.57800321323543</v>
      </c>
      <c r="H4" s="16">
        <v>919.6887255767648</v>
      </c>
      <c r="I4" s="15">
        <v>1215.9370505908091</v>
      </c>
      <c r="J4" s="17">
        <v>883.14291372794128</v>
      </c>
      <c r="K4" s="17">
        <v>1332.1643740804418</v>
      </c>
      <c r="L4" s="16">
        <v>1044.8618106088236</v>
      </c>
    </row>
    <row r="5" spans="1:12" x14ac:dyDescent="0.3">
      <c r="A5" s="18">
        <v>2</v>
      </c>
      <c r="B5" s="19" t="s">
        <v>40</v>
      </c>
      <c r="C5" s="20">
        <v>1.2</v>
      </c>
      <c r="D5" s="21" t="s">
        <v>21</v>
      </c>
      <c r="E5" s="21" t="s">
        <v>12</v>
      </c>
      <c r="F5" s="21" t="s">
        <v>22</v>
      </c>
      <c r="G5" s="22">
        <v>667.79125875000011</v>
      </c>
      <c r="H5" s="23">
        <v>946.85410486058856</v>
      </c>
      <c r="I5" s="22">
        <v>1244.8785728158091</v>
      </c>
      <c r="J5" s="24">
        <v>903.60197411029424</v>
      </c>
      <c r="K5" s="24">
        <v>1361.2587483646325</v>
      </c>
      <c r="L5" s="23">
        <v>1066.8512090867648</v>
      </c>
    </row>
    <row r="6" spans="1:12" x14ac:dyDescent="0.3">
      <c r="A6" s="11">
        <v>3</v>
      </c>
      <c r="B6" s="12" t="s">
        <v>40</v>
      </c>
      <c r="C6" s="13">
        <v>1.2</v>
      </c>
      <c r="D6" s="14" t="s">
        <v>23</v>
      </c>
      <c r="E6" s="14" t="s">
        <v>12</v>
      </c>
      <c r="F6" s="14" t="s">
        <v>22</v>
      </c>
      <c r="G6" s="15">
        <v>667.79125875000011</v>
      </c>
      <c r="H6" s="16">
        <v>946.85410486058856</v>
      </c>
      <c r="I6" s="15">
        <v>1244.8785728158091</v>
      </c>
      <c r="J6" s="17">
        <v>903.60197411029424</v>
      </c>
      <c r="K6" s="17">
        <v>1361.2587483646325</v>
      </c>
      <c r="L6" s="16">
        <v>1066.8512090867648</v>
      </c>
    </row>
    <row r="7" spans="1:12" x14ac:dyDescent="0.3">
      <c r="A7" s="18">
        <v>4</v>
      </c>
      <c r="B7" s="19" t="s">
        <v>20</v>
      </c>
      <c r="C7" s="20">
        <v>1</v>
      </c>
      <c r="D7" s="21" t="s">
        <v>21</v>
      </c>
      <c r="E7" s="21" t="s">
        <v>12</v>
      </c>
      <c r="F7" s="21" t="s">
        <v>22</v>
      </c>
      <c r="G7" s="22">
        <v>561.7089897794117</v>
      </c>
      <c r="H7" s="23">
        <v>833.81971214294128</v>
      </c>
      <c r="I7" s="22">
        <v>1046.4070898003679</v>
      </c>
      <c r="J7" s="24">
        <v>795.86269056617664</v>
      </c>
      <c r="K7" s="24">
        <v>1154.7216868131618</v>
      </c>
      <c r="L7" s="23">
        <v>875.86877511617661</v>
      </c>
    </row>
    <row r="8" spans="1:12" x14ac:dyDescent="0.3">
      <c r="A8" s="11">
        <v>5</v>
      </c>
      <c r="B8" s="12" t="s">
        <v>20</v>
      </c>
      <c r="C8" s="13">
        <v>1.2</v>
      </c>
      <c r="D8" s="14" t="s">
        <v>21</v>
      </c>
      <c r="E8" s="14" t="s">
        <v>12</v>
      </c>
      <c r="F8" s="14" t="s">
        <v>22</v>
      </c>
      <c r="G8" s="15">
        <v>580.31920707352936</v>
      </c>
      <c r="H8" s="16">
        <v>859.38205318411781</v>
      </c>
      <c r="I8" s="15">
        <v>1072.2915708415444</v>
      </c>
      <c r="J8" s="17">
        <v>814.79504786029429</v>
      </c>
      <c r="K8" s="17">
        <v>1180.6061678543385</v>
      </c>
      <c r="L8" s="16">
        <v>894.80113241029426</v>
      </c>
    </row>
    <row r="9" spans="1:12" x14ac:dyDescent="0.3">
      <c r="A9" s="18">
        <v>6</v>
      </c>
      <c r="B9" s="19" t="s">
        <v>20</v>
      </c>
      <c r="C9" s="20">
        <v>1.2</v>
      </c>
      <c r="D9" s="21" t="s">
        <v>23</v>
      </c>
      <c r="E9" s="21" t="s">
        <v>12</v>
      </c>
      <c r="F9" s="21" t="s">
        <v>22</v>
      </c>
      <c r="G9" s="22">
        <v>580.31920707352936</v>
      </c>
      <c r="H9" s="23">
        <v>859.38205318411781</v>
      </c>
      <c r="I9" s="22">
        <v>1072.2915708415444</v>
      </c>
      <c r="J9" s="24">
        <v>814.79504786029429</v>
      </c>
      <c r="K9" s="24">
        <v>1180.6061678543385</v>
      </c>
      <c r="L9" s="23">
        <v>894.80113241029426</v>
      </c>
    </row>
    <row r="10" spans="1:12" x14ac:dyDescent="0.3">
      <c r="A10" s="11">
        <v>7</v>
      </c>
      <c r="B10" s="12" t="s">
        <v>25</v>
      </c>
      <c r="C10" s="13">
        <v>1.4</v>
      </c>
      <c r="D10" s="14" t="s">
        <v>21</v>
      </c>
      <c r="E10" s="14" t="s">
        <v>12</v>
      </c>
      <c r="F10" s="14" t="s">
        <v>22</v>
      </c>
      <c r="G10" s="15">
        <v>593.80642356617648</v>
      </c>
      <c r="H10" s="16">
        <v>872.8692696767647</v>
      </c>
      <c r="I10" s="15">
        <v>1202.6169579040443</v>
      </c>
      <c r="J10" s="17">
        <v>927.26369940441202</v>
      </c>
      <c r="K10" s="17">
        <v>1414.8761961877947</v>
      </c>
      <c r="L10" s="16">
        <v>1117.9154451088239</v>
      </c>
    </row>
    <row r="11" spans="1:12" x14ac:dyDescent="0.3">
      <c r="A11" s="18">
        <v>8</v>
      </c>
      <c r="B11" s="19" t="s">
        <v>25</v>
      </c>
      <c r="C11" s="20">
        <v>1.4</v>
      </c>
      <c r="D11" s="21" t="s">
        <v>23</v>
      </c>
      <c r="E11" s="21" t="s">
        <v>12</v>
      </c>
      <c r="F11" s="21" t="s">
        <v>22</v>
      </c>
      <c r="G11" s="22">
        <v>593.80642356617648</v>
      </c>
      <c r="H11" s="23">
        <v>872.8692696767647</v>
      </c>
      <c r="I11" s="22">
        <v>1202.6169579040443</v>
      </c>
      <c r="J11" s="24">
        <v>927.26369940441202</v>
      </c>
      <c r="K11" s="24">
        <v>1414.8761961877947</v>
      </c>
      <c r="L11" s="23">
        <v>1117.9154451088239</v>
      </c>
    </row>
    <row r="12" spans="1:12" x14ac:dyDescent="0.3">
      <c r="A12" s="11">
        <v>9</v>
      </c>
      <c r="B12" s="12" t="s">
        <v>25</v>
      </c>
      <c r="C12" s="13">
        <v>1.4</v>
      </c>
      <c r="D12" s="14" t="s">
        <v>21</v>
      </c>
      <c r="E12" s="14" t="s">
        <v>12</v>
      </c>
      <c r="F12" s="14" t="s">
        <v>26</v>
      </c>
      <c r="G12" s="15">
        <v>719.7773482941177</v>
      </c>
      <c r="H12" s="16">
        <v>1042.3851814749266</v>
      </c>
      <c r="I12" s="15">
        <v>1450.5676432316179</v>
      </c>
      <c r="J12" s="17">
        <v>1088.7074249264706</v>
      </c>
      <c r="K12" s="17">
        <v>1777.7726127241915</v>
      </c>
      <c r="L12" s="16">
        <v>1427.7065112779412</v>
      </c>
    </row>
    <row r="13" spans="1:12" x14ac:dyDescent="0.3">
      <c r="A13" s="18">
        <v>10</v>
      </c>
      <c r="B13" s="19" t="s">
        <v>25</v>
      </c>
      <c r="C13" s="20">
        <v>1.4</v>
      </c>
      <c r="D13" s="21" t="s">
        <v>23</v>
      </c>
      <c r="E13" s="21" t="s">
        <v>12</v>
      </c>
      <c r="F13" s="21" t="s">
        <v>26</v>
      </c>
      <c r="G13" s="22">
        <v>719.7773482941177</v>
      </c>
      <c r="H13" s="23">
        <v>1042.3851814749266</v>
      </c>
      <c r="I13" s="22">
        <v>1450.5676432316179</v>
      </c>
      <c r="J13" s="24">
        <v>1088.7074249264706</v>
      </c>
      <c r="K13" s="24">
        <v>1777.7726127241915</v>
      </c>
      <c r="L13" s="23">
        <v>1427.7065112779412</v>
      </c>
    </row>
    <row r="14" spans="1:12" x14ac:dyDescent="0.3">
      <c r="A14" s="11">
        <v>11</v>
      </c>
      <c r="B14" s="12" t="s">
        <v>25</v>
      </c>
      <c r="C14" s="13">
        <v>1.4</v>
      </c>
      <c r="D14" s="14" t="s">
        <v>21</v>
      </c>
      <c r="E14" s="14" t="s">
        <v>12</v>
      </c>
      <c r="F14" s="14" t="s">
        <v>27</v>
      </c>
      <c r="G14" s="15">
        <v>707.70548887500001</v>
      </c>
      <c r="H14" s="16">
        <v>1023.8210171730883</v>
      </c>
      <c r="I14" s="15">
        <v>1426.3951818709561</v>
      </c>
      <c r="J14" s="17">
        <v>1071.0272684485299</v>
      </c>
      <c r="K14" s="17">
        <v>1753.6001513635299</v>
      </c>
      <c r="L14" s="16">
        <v>1410.0263548000005</v>
      </c>
    </row>
    <row r="15" spans="1:12" x14ac:dyDescent="0.3">
      <c r="A15" s="18">
        <v>12</v>
      </c>
      <c r="B15" s="19" t="s">
        <v>25</v>
      </c>
      <c r="C15" s="20">
        <v>1.4</v>
      </c>
      <c r="D15" s="21" t="s">
        <v>23</v>
      </c>
      <c r="E15" s="21" t="s">
        <v>12</v>
      </c>
      <c r="F15" s="21" t="s">
        <v>27</v>
      </c>
      <c r="G15" s="22">
        <v>707.70548887500001</v>
      </c>
      <c r="H15" s="23">
        <v>1023.8210171730883</v>
      </c>
      <c r="I15" s="22">
        <v>1426.3951818709561</v>
      </c>
      <c r="J15" s="24">
        <v>1071.0272684485299</v>
      </c>
      <c r="K15" s="24">
        <v>1753.6001513635299</v>
      </c>
      <c r="L15" s="23">
        <v>1410.0263548000005</v>
      </c>
    </row>
    <row r="16" spans="1:12" x14ac:dyDescent="0.3">
      <c r="A16" s="11">
        <v>13</v>
      </c>
      <c r="B16" s="12" t="s">
        <v>41</v>
      </c>
      <c r="C16" s="13">
        <v>1.2</v>
      </c>
      <c r="D16" s="14" t="s">
        <v>21</v>
      </c>
      <c r="E16" s="14" t="s">
        <v>12</v>
      </c>
      <c r="F16" s="14" t="s">
        <v>22</v>
      </c>
      <c r="G16" s="15">
        <v>679.75123646911766</v>
      </c>
      <c r="H16" s="16">
        <v>947.67352926286776</v>
      </c>
      <c r="I16" s="15">
        <v>1253.291127515</v>
      </c>
      <c r="J16" s="17">
        <v>901.28245253529428</v>
      </c>
      <c r="K16" s="17">
        <v>1349.2160967610296</v>
      </c>
      <c r="L16" s="16">
        <v>1064.5473778676474</v>
      </c>
    </row>
    <row r="17" spans="1:12" x14ac:dyDescent="0.3">
      <c r="A17" s="18">
        <v>14</v>
      </c>
      <c r="B17" s="19" t="s">
        <v>41</v>
      </c>
      <c r="C17" s="20">
        <v>1.4</v>
      </c>
      <c r="D17" s="21" t="s">
        <v>21</v>
      </c>
      <c r="E17" s="21" t="s">
        <v>12</v>
      </c>
      <c r="F17" s="21" t="s">
        <v>22</v>
      </c>
      <c r="G17" s="22">
        <v>710.93316586764706</v>
      </c>
      <c r="H17" s="23">
        <v>989.69227841647069</v>
      </c>
      <c r="I17" s="22">
        <v>1324.6849087319854</v>
      </c>
      <c r="J17" s="24">
        <v>941.87577302205909</v>
      </c>
      <c r="K17" s="24">
        <v>1445.3963151028679</v>
      </c>
      <c r="L17" s="23">
        <v>1147.2321073808826</v>
      </c>
    </row>
    <row r="18" spans="1:12" x14ac:dyDescent="0.3">
      <c r="A18" s="11">
        <v>15</v>
      </c>
      <c r="B18" s="12" t="s">
        <v>41</v>
      </c>
      <c r="C18" s="13">
        <v>1.4</v>
      </c>
      <c r="D18" s="14" t="s">
        <v>23</v>
      </c>
      <c r="E18" s="14" t="s">
        <v>12</v>
      </c>
      <c r="F18" s="14" t="s">
        <v>22</v>
      </c>
      <c r="G18" s="15">
        <v>710.93316586764706</v>
      </c>
      <c r="H18" s="16">
        <v>989.69227841647069</v>
      </c>
      <c r="I18" s="15">
        <v>1324.6849087319854</v>
      </c>
      <c r="J18" s="17">
        <v>941.87577302205909</v>
      </c>
      <c r="K18" s="17">
        <v>1445.3963151028679</v>
      </c>
      <c r="L18" s="16">
        <v>1147.2321073808826</v>
      </c>
    </row>
    <row r="19" spans="1:12" x14ac:dyDescent="0.3">
      <c r="A19" s="18">
        <v>16</v>
      </c>
      <c r="B19" s="19" t="s">
        <v>28</v>
      </c>
      <c r="C19" s="20">
        <v>1.4</v>
      </c>
      <c r="D19" s="21" t="s">
        <v>21</v>
      </c>
      <c r="E19" s="21" t="s">
        <v>12</v>
      </c>
      <c r="F19" s="21" t="s">
        <v>22</v>
      </c>
      <c r="G19" s="22">
        <v>584.89931633823528</v>
      </c>
      <c r="H19" s="23">
        <v>863.96216244882373</v>
      </c>
      <c r="I19" s="22">
        <v>1083.888133940809</v>
      </c>
      <c r="J19" s="24">
        <v>821.88292308088251</v>
      </c>
      <c r="K19" s="24">
        <v>1192.5031578028679</v>
      </c>
      <c r="L19" s="23">
        <v>906.13159902794132</v>
      </c>
    </row>
    <row r="20" spans="1:12" x14ac:dyDescent="0.3">
      <c r="A20" s="11">
        <v>17</v>
      </c>
      <c r="B20" s="12" t="s">
        <v>28</v>
      </c>
      <c r="C20" s="13">
        <v>1.4</v>
      </c>
      <c r="D20" s="14" t="s">
        <v>23</v>
      </c>
      <c r="E20" s="14" t="s">
        <v>12</v>
      </c>
      <c r="F20" s="14" t="s">
        <v>22</v>
      </c>
      <c r="G20" s="15">
        <v>584.89931633823528</v>
      </c>
      <c r="H20" s="16">
        <v>863.96216244882373</v>
      </c>
      <c r="I20" s="15">
        <v>1082.9340807018384</v>
      </c>
      <c r="J20" s="17">
        <v>820.9743009485295</v>
      </c>
      <c r="K20" s="17">
        <v>1191.5945356705151</v>
      </c>
      <c r="L20" s="16">
        <v>905.26624461617655</v>
      </c>
    </row>
    <row r="21" spans="1:12" x14ac:dyDescent="0.3">
      <c r="A21" s="18">
        <v>18</v>
      </c>
      <c r="B21" s="19" t="s">
        <v>42</v>
      </c>
      <c r="C21" s="20">
        <v>1.6</v>
      </c>
      <c r="D21" s="21" t="s">
        <v>21</v>
      </c>
      <c r="E21" s="21" t="s">
        <v>12</v>
      </c>
      <c r="F21" s="21" t="s">
        <v>22</v>
      </c>
      <c r="G21" s="22">
        <v>655.26483513235303</v>
      </c>
      <c r="H21" s="23">
        <v>935.18263497235318</v>
      </c>
      <c r="I21" s="22">
        <v>1239.798425684927</v>
      </c>
      <c r="J21" s="24">
        <v>910.84601325735321</v>
      </c>
      <c r="K21" s="24">
        <v>1353.8167073308091</v>
      </c>
      <c r="L21" s="23">
        <v>1059.0601784102944</v>
      </c>
    </row>
    <row r="22" spans="1:12" x14ac:dyDescent="0.3">
      <c r="A22" s="11">
        <v>19</v>
      </c>
      <c r="B22" s="12" t="s">
        <v>42</v>
      </c>
      <c r="C22" s="13">
        <v>1.6</v>
      </c>
      <c r="D22" s="14" t="s">
        <v>23</v>
      </c>
      <c r="E22" s="14" t="s">
        <v>12</v>
      </c>
      <c r="F22" s="14" t="s">
        <v>22</v>
      </c>
      <c r="G22" s="15">
        <v>655.26483513235303</v>
      </c>
      <c r="H22" s="16">
        <v>935.18263497235318</v>
      </c>
      <c r="I22" s="15">
        <v>1238.8443724459564</v>
      </c>
      <c r="J22" s="17">
        <v>909.93739112500032</v>
      </c>
      <c r="K22" s="17">
        <v>1352.9080851984563</v>
      </c>
      <c r="L22" s="16">
        <v>1058.1948239985297</v>
      </c>
    </row>
    <row r="23" spans="1:12" x14ac:dyDescent="0.3">
      <c r="A23" s="18">
        <v>20</v>
      </c>
      <c r="B23" s="19" t="s">
        <v>42</v>
      </c>
      <c r="C23" s="20">
        <v>2</v>
      </c>
      <c r="D23" s="21" t="s">
        <v>21</v>
      </c>
      <c r="E23" s="21" t="s">
        <v>12</v>
      </c>
      <c r="F23" s="21" t="s">
        <v>22</v>
      </c>
      <c r="G23" s="22">
        <v>714.0348687500001</v>
      </c>
      <c r="H23" s="23">
        <v>993.95266859000003</v>
      </c>
      <c r="I23" s="22">
        <v>1352.8286654827209</v>
      </c>
      <c r="J23" s="24">
        <v>967.72609597794133</v>
      </c>
      <c r="K23" s="24">
        <v>1472.4053253499264</v>
      </c>
      <c r="L23" s="23">
        <v>1172.0017193808826</v>
      </c>
    </row>
    <row r="24" spans="1:12" x14ac:dyDescent="0.3">
      <c r="A24" s="11">
        <v>21</v>
      </c>
      <c r="B24" s="12" t="s">
        <v>29</v>
      </c>
      <c r="C24" s="13">
        <v>1.6</v>
      </c>
      <c r="D24" s="14" t="s">
        <v>21</v>
      </c>
      <c r="E24" s="14" t="s">
        <v>12</v>
      </c>
      <c r="F24" s="14" t="s">
        <v>22</v>
      </c>
      <c r="G24" s="15">
        <v>657.56694268382364</v>
      </c>
      <c r="H24" s="16">
        <v>937.4847425238238</v>
      </c>
      <c r="I24" s="15">
        <v>1216.1422870084562</v>
      </c>
      <c r="J24" s="17">
        <v>886.32771031617665</v>
      </c>
      <c r="K24" s="17">
        <v>1446.7336112286034</v>
      </c>
      <c r="L24" s="16">
        <v>1147.5524678367649</v>
      </c>
    </row>
    <row r="25" spans="1:12" x14ac:dyDescent="0.3">
      <c r="A25" s="18">
        <v>22</v>
      </c>
      <c r="B25" s="19" t="s">
        <v>29</v>
      </c>
      <c r="C25" s="20">
        <v>1.6</v>
      </c>
      <c r="D25" s="21" t="s">
        <v>23</v>
      </c>
      <c r="E25" s="21" t="s">
        <v>12</v>
      </c>
      <c r="F25" s="21" t="s">
        <v>22</v>
      </c>
      <c r="G25" s="22">
        <v>657.56694268382364</v>
      </c>
      <c r="H25" s="23">
        <v>937.4847425238238</v>
      </c>
      <c r="I25" s="22">
        <v>1215.1882337694856</v>
      </c>
      <c r="J25" s="24">
        <v>885.41908818382387</v>
      </c>
      <c r="K25" s="24">
        <v>1445.8249890962502</v>
      </c>
      <c r="L25" s="23">
        <v>1146.687113425</v>
      </c>
    </row>
    <row r="26" spans="1:12" x14ac:dyDescent="0.3">
      <c r="A26" s="11">
        <v>23</v>
      </c>
      <c r="B26" s="12" t="s">
        <v>43</v>
      </c>
      <c r="C26" s="13">
        <v>2</v>
      </c>
      <c r="D26" s="14" t="s">
        <v>21</v>
      </c>
      <c r="E26" s="14" t="s">
        <v>12</v>
      </c>
      <c r="F26" s="14" t="s">
        <v>22</v>
      </c>
      <c r="G26" s="15">
        <v>742.80569686029412</v>
      </c>
      <c r="H26" s="16">
        <v>1029.6756204473531</v>
      </c>
      <c r="I26" s="15">
        <v>1413.3784501966916</v>
      </c>
      <c r="J26" s="17">
        <v>1010.8959105514709</v>
      </c>
      <c r="K26" s="17">
        <v>1533.1959050275002</v>
      </c>
      <c r="L26" s="16">
        <v>1224.1779801382356</v>
      </c>
    </row>
    <row r="27" spans="1:12" x14ac:dyDescent="0.3">
      <c r="A27" s="18">
        <v>24</v>
      </c>
      <c r="B27" s="19" t="s">
        <v>43</v>
      </c>
      <c r="C27" s="20">
        <v>2</v>
      </c>
      <c r="D27" s="21" t="s">
        <v>23</v>
      </c>
      <c r="E27" s="21" t="s">
        <v>12</v>
      </c>
      <c r="F27" s="21" t="s">
        <v>22</v>
      </c>
      <c r="G27" s="22">
        <v>742.80569686029412</v>
      </c>
      <c r="H27" s="23">
        <v>1029.6756204473531</v>
      </c>
      <c r="I27" s="22">
        <v>1410.5162904797799</v>
      </c>
      <c r="J27" s="24">
        <v>1008.170044154412</v>
      </c>
      <c r="K27" s="24">
        <v>1530.4700386304416</v>
      </c>
      <c r="L27" s="23">
        <v>1221.5819169029417</v>
      </c>
    </row>
    <row r="28" spans="1:12" x14ac:dyDescent="0.3">
      <c r="A28" s="11">
        <v>25</v>
      </c>
      <c r="B28" s="12" t="s">
        <v>44</v>
      </c>
      <c r="C28" s="13">
        <v>1.4</v>
      </c>
      <c r="D28" s="14" t="s">
        <v>45</v>
      </c>
      <c r="E28" s="14" t="s">
        <v>12</v>
      </c>
      <c r="F28" s="14" t="s">
        <v>22</v>
      </c>
      <c r="G28" s="15">
        <v>633.01945561029413</v>
      </c>
      <c r="H28" s="16">
        <v>928.29267440617662</v>
      </c>
      <c r="I28" s="15">
        <v>1182.7608899827208</v>
      </c>
      <c r="J28" s="17">
        <v>898.95249186029434</v>
      </c>
      <c r="K28" s="17">
        <v>1367.4283680786034</v>
      </c>
      <c r="L28" s="16">
        <v>1059.3907236602943</v>
      </c>
    </row>
    <row r="29" spans="1:12" x14ac:dyDescent="0.3">
      <c r="A29" s="18">
        <v>26</v>
      </c>
      <c r="B29" s="19" t="s">
        <v>44</v>
      </c>
      <c r="C29" s="20">
        <v>1.5</v>
      </c>
      <c r="D29" s="21" t="s">
        <v>32</v>
      </c>
      <c r="E29" s="21" t="s">
        <v>12</v>
      </c>
      <c r="F29" s="21" t="s">
        <v>22</v>
      </c>
      <c r="G29" s="22">
        <v>616.89050587499992</v>
      </c>
      <c r="H29" s="23">
        <v>906.1621744782351</v>
      </c>
      <c r="I29" s="22">
        <v>1143.1521046209559</v>
      </c>
      <c r="J29" s="24">
        <v>866.16732933088235</v>
      </c>
      <c r="K29" s="24">
        <v>1328.6416553565441</v>
      </c>
      <c r="L29" s="23">
        <v>1027.3884874544117</v>
      </c>
    </row>
    <row r="30" spans="1:12" x14ac:dyDescent="0.3">
      <c r="A30" s="11">
        <v>27</v>
      </c>
      <c r="B30" s="12" t="s">
        <v>44</v>
      </c>
      <c r="C30" s="13">
        <v>1.5</v>
      </c>
      <c r="D30" s="14" t="s">
        <v>45</v>
      </c>
      <c r="E30" s="14" t="s">
        <v>12</v>
      </c>
      <c r="F30" s="14" t="s">
        <v>22</v>
      </c>
      <c r="G30" s="15">
        <v>635.60427380882368</v>
      </c>
      <c r="H30" s="16">
        <v>931.82665998522077</v>
      </c>
      <c r="I30" s="15">
        <v>1173.892183455147</v>
      </c>
      <c r="J30" s="17">
        <v>889.72522233823554</v>
      </c>
      <c r="K30" s="17">
        <v>1359.1502659370592</v>
      </c>
      <c r="L30" s="16">
        <v>1050.7259345058824</v>
      </c>
    </row>
    <row r="31" spans="1:12" x14ac:dyDescent="0.3">
      <c r="A31" s="18">
        <v>28</v>
      </c>
      <c r="B31" s="19" t="s">
        <v>46</v>
      </c>
      <c r="C31" s="20">
        <v>1.6</v>
      </c>
      <c r="D31" s="21" t="s">
        <v>21</v>
      </c>
      <c r="E31" s="21" t="s">
        <v>12</v>
      </c>
      <c r="F31" s="21" t="s">
        <v>22</v>
      </c>
      <c r="G31" s="22">
        <v>679.17782666176481</v>
      </c>
      <c r="H31" s="23">
        <v>959.09562650176474</v>
      </c>
      <c r="I31" s="22">
        <v>1264.0332524827206</v>
      </c>
      <c r="J31" s="24">
        <v>913.26985950735309</v>
      </c>
      <c r="K31" s="24">
        <v>1437.8225445664709</v>
      </c>
      <c r="L31" s="23">
        <v>1139.0657376823531</v>
      </c>
    </row>
    <row r="32" spans="1:12" x14ac:dyDescent="0.3">
      <c r="A32" s="11">
        <v>29</v>
      </c>
      <c r="B32" s="12" t="s">
        <v>46</v>
      </c>
      <c r="C32" s="13">
        <v>1.6</v>
      </c>
      <c r="D32" s="14" t="s">
        <v>23</v>
      </c>
      <c r="E32" s="14" t="s">
        <v>12</v>
      </c>
      <c r="F32" s="14" t="s">
        <v>22</v>
      </c>
      <c r="G32" s="15">
        <v>679.17782666176481</v>
      </c>
      <c r="H32" s="16">
        <v>959.09562650176474</v>
      </c>
      <c r="I32" s="15">
        <v>1262.1251460047799</v>
      </c>
      <c r="J32" s="17">
        <v>911.45261524264731</v>
      </c>
      <c r="K32" s="17">
        <v>1436.0053003017651</v>
      </c>
      <c r="L32" s="16">
        <v>1137.335028858824</v>
      </c>
    </row>
    <row r="33" spans="1:12" x14ac:dyDescent="0.3">
      <c r="A33" s="18">
        <v>30</v>
      </c>
      <c r="B33" s="19" t="s">
        <v>47</v>
      </c>
      <c r="C33" s="20">
        <v>1.5</v>
      </c>
      <c r="D33" s="21" t="s">
        <v>21</v>
      </c>
      <c r="E33" s="21" t="s">
        <v>12</v>
      </c>
      <c r="F33" s="21" t="s">
        <v>22</v>
      </c>
      <c r="G33" s="22">
        <v>786.79247139705888</v>
      </c>
      <c r="H33" s="23">
        <v>1076.0641400002942</v>
      </c>
      <c r="I33" s="22">
        <v>1455.7115224518384</v>
      </c>
      <c r="J33" s="24">
        <v>1017.0752594779414</v>
      </c>
      <c r="K33" s="24">
        <v>1637.3433893620593</v>
      </c>
      <c r="L33" s="23">
        <v>1321.3901388882352</v>
      </c>
    </row>
    <row r="34" spans="1:12" x14ac:dyDescent="0.3">
      <c r="A34" s="11">
        <v>31</v>
      </c>
      <c r="B34" s="12" t="s">
        <v>47</v>
      </c>
      <c r="C34" s="13">
        <v>1.5</v>
      </c>
      <c r="D34" s="14" t="s">
        <v>32</v>
      </c>
      <c r="E34" s="14" t="s">
        <v>12</v>
      </c>
      <c r="F34" s="14" t="s">
        <v>22</v>
      </c>
      <c r="G34" s="15">
        <v>786.79247139705888</v>
      </c>
      <c r="H34" s="16">
        <v>1076.0641400002942</v>
      </c>
      <c r="I34" s="15">
        <v>1453.8034159738972</v>
      </c>
      <c r="J34" s="17">
        <v>1015.2580152132356</v>
      </c>
      <c r="K34" s="17">
        <v>1635.526145097353</v>
      </c>
      <c r="L34" s="16">
        <v>1319.6594300647059</v>
      </c>
    </row>
    <row r="35" spans="1:12" x14ac:dyDescent="0.3">
      <c r="A35" s="18">
        <v>32</v>
      </c>
      <c r="B35" s="19" t="s">
        <v>47</v>
      </c>
      <c r="C35" s="20">
        <v>1.5</v>
      </c>
      <c r="D35" s="21" t="s">
        <v>21</v>
      </c>
      <c r="E35" s="21" t="s">
        <v>12</v>
      </c>
      <c r="F35" s="21" t="s">
        <v>26</v>
      </c>
      <c r="G35" s="22">
        <v>912.7633961250001</v>
      </c>
      <c r="H35" s="23">
        <v>1245.5800517984562</v>
      </c>
      <c r="I35" s="22">
        <v>1703.6622077794123</v>
      </c>
      <c r="J35" s="24">
        <v>1178.5189849999999</v>
      </c>
      <c r="K35" s="24">
        <v>2000.2398058984561</v>
      </c>
      <c r="L35" s="23">
        <v>1631.1812050573533</v>
      </c>
    </row>
    <row r="36" spans="1:12" x14ac:dyDescent="0.3">
      <c r="A36" s="11">
        <v>33</v>
      </c>
      <c r="B36" s="12" t="s">
        <v>47</v>
      </c>
      <c r="C36" s="13">
        <v>1.5</v>
      </c>
      <c r="D36" s="14" t="s">
        <v>32</v>
      </c>
      <c r="E36" s="14" t="s">
        <v>12</v>
      </c>
      <c r="F36" s="14" t="s">
        <v>26</v>
      </c>
      <c r="G36" s="15">
        <v>912.7633961250001</v>
      </c>
      <c r="H36" s="16">
        <v>1245.5800517984562</v>
      </c>
      <c r="I36" s="15">
        <v>1703.6622077794123</v>
      </c>
      <c r="J36" s="17">
        <v>1178.5189849999999</v>
      </c>
      <c r="K36" s="17">
        <v>2000.2398058984561</v>
      </c>
      <c r="L36" s="16">
        <v>1631.1812050573533</v>
      </c>
    </row>
    <row r="37" spans="1:12" x14ac:dyDescent="0.3">
      <c r="A37" s="18">
        <v>34</v>
      </c>
      <c r="B37" s="19" t="s">
        <v>48</v>
      </c>
      <c r="C37" s="20">
        <v>2</v>
      </c>
      <c r="D37" s="21" t="s">
        <v>21</v>
      </c>
      <c r="E37" s="21" t="s">
        <v>12</v>
      </c>
      <c r="F37" s="21" t="s">
        <v>22</v>
      </c>
      <c r="G37" s="22">
        <v>725.80287556617645</v>
      </c>
      <c r="H37" s="23">
        <v>1010.3554245708825</v>
      </c>
      <c r="I37" s="22">
        <v>1364.9302629452206</v>
      </c>
      <c r="J37" s="24">
        <v>975.99023081617679</v>
      </c>
      <c r="K37" s="24">
        <v>1484.6334644039712</v>
      </c>
      <c r="L37" s="23">
        <v>1179.8345464911768</v>
      </c>
    </row>
    <row r="38" spans="1:12" x14ac:dyDescent="0.3">
      <c r="A38" s="11">
        <v>35</v>
      </c>
      <c r="B38" s="12" t="s">
        <v>48</v>
      </c>
      <c r="C38" s="13">
        <v>2</v>
      </c>
      <c r="D38" s="14" t="s">
        <v>23</v>
      </c>
      <c r="E38" s="14" t="s">
        <v>12</v>
      </c>
      <c r="F38" s="14" t="s">
        <v>22</v>
      </c>
      <c r="G38" s="15">
        <v>725.80287556617645</v>
      </c>
      <c r="H38" s="16">
        <v>1010.3554245708825</v>
      </c>
      <c r="I38" s="15">
        <v>1363.9762097062501</v>
      </c>
      <c r="J38" s="17">
        <v>975.08160868382356</v>
      </c>
      <c r="K38" s="17">
        <v>1483.7248422716177</v>
      </c>
      <c r="L38" s="16">
        <v>1178.9691920794121</v>
      </c>
    </row>
    <row r="39" spans="1:12" x14ac:dyDescent="0.3">
      <c r="A39" s="18">
        <v>36</v>
      </c>
      <c r="B39" s="19" t="s">
        <v>49</v>
      </c>
      <c r="C39" s="20">
        <v>2</v>
      </c>
      <c r="D39" s="21" t="s">
        <v>21</v>
      </c>
      <c r="E39" s="21" t="s">
        <v>12</v>
      </c>
      <c r="F39" s="21" t="s">
        <v>22</v>
      </c>
      <c r="G39" s="22">
        <v>597.67632770588227</v>
      </c>
      <c r="H39" s="23">
        <v>882.22887671058822</v>
      </c>
      <c r="I39" s="22">
        <v>1123.5579225628678</v>
      </c>
      <c r="J39" s="24">
        <v>856.79234081617642</v>
      </c>
      <c r="K39" s="24">
        <v>1315.6485814047057</v>
      </c>
      <c r="L39" s="23">
        <v>1018.8965626823529</v>
      </c>
    </row>
    <row r="40" spans="1:12" x14ac:dyDescent="0.3">
      <c r="A40" s="11">
        <v>37</v>
      </c>
      <c r="B40" s="12" t="s">
        <v>49</v>
      </c>
      <c r="C40" s="13">
        <v>2</v>
      </c>
      <c r="D40" s="14" t="s">
        <v>23</v>
      </c>
      <c r="E40" s="14" t="s">
        <v>12</v>
      </c>
      <c r="F40" s="14" t="s">
        <v>22</v>
      </c>
      <c r="G40" s="15">
        <v>597.67632770588227</v>
      </c>
      <c r="H40" s="16">
        <v>882.22887671058822</v>
      </c>
      <c r="I40" s="15">
        <v>1121.6498160849267</v>
      </c>
      <c r="J40" s="17">
        <v>854.97509655147064</v>
      </c>
      <c r="K40" s="17">
        <v>1313.8313371400004</v>
      </c>
      <c r="L40" s="16">
        <v>1017.1658538588237</v>
      </c>
    </row>
    <row r="41" spans="1:12" x14ac:dyDescent="0.3">
      <c r="A41" s="18">
        <v>38</v>
      </c>
      <c r="B41" s="19" t="s">
        <v>50</v>
      </c>
      <c r="C41" s="20">
        <v>1.6</v>
      </c>
      <c r="D41" s="21" t="s">
        <v>45</v>
      </c>
      <c r="E41" s="21" t="s">
        <v>12</v>
      </c>
      <c r="F41" s="21" t="s">
        <v>22</v>
      </c>
      <c r="G41" s="22">
        <v>647.36515333823536</v>
      </c>
      <c r="H41" s="23">
        <v>948.22369485323554</v>
      </c>
      <c r="I41" s="22">
        <v>1196.2934251393385</v>
      </c>
      <c r="J41" s="24">
        <v>907.71409116911764</v>
      </c>
      <c r="K41" s="24">
        <v>1402.2646499605885</v>
      </c>
      <c r="L41" s="23">
        <v>1087.9730761529415</v>
      </c>
    </row>
    <row r="42" spans="1:12" x14ac:dyDescent="0.3">
      <c r="A42" s="11">
        <v>39</v>
      </c>
      <c r="B42" s="12" t="s">
        <v>50</v>
      </c>
      <c r="C42" s="13">
        <v>2</v>
      </c>
      <c r="D42" s="14" t="s">
        <v>21</v>
      </c>
      <c r="E42" s="14" t="s">
        <v>12</v>
      </c>
      <c r="F42" s="14" t="s">
        <v>22</v>
      </c>
      <c r="G42" s="15">
        <v>638.16359533088246</v>
      </c>
      <c r="H42" s="16">
        <v>935.54466879845597</v>
      </c>
      <c r="I42" s="15">
        <v>1185.2540555625003</v>
      </c>
      <c r="J42" s="17">
        <v>900.06132742647071</v>
      </c>
      <c r="K42" s="17">
        <v>1391.1344181705151</v>
      </c>
      <c r="L42" s="16">
        <v>1080.2337769691178</v>
      </c>
    </row>
    <row r="43" spans="1:12" x14ac:dyDescent="0.3">
      <c r="A43" s="18">
        <v>40</v>
      </c>
      <c r="B43" s="19" t="s">
        <v>50</v>
      </c>
      <c r="C43" s="20">
        <v>2</v>
      </c>
      <c r="D43" s="21" t="s">
        <v>23</v>
      </c>
      <c r="E43" s="21" t="s">
        <v>12</v>
      </c>
      <c r="F43" s="21" t="s">
        <v>22</v>
      </c>
      <c r="G43" s="22">
        <v>638.16359533088246</v>
      </c>
      <c r="H43" s="23">
        <v>935.54466879845597</v>
      </c>
      <c r="I43" s="22">
        <v>1183.3459490845592</v>
      </c>
      <c r="J43" s="24">
        <v>898.24408316176493</v>
      </c>
      <c r="K43" s="24">
        <v>1389.3171739058093</v>
      </c>
      <c r="L43" s="23">
        <v>1078.5030681455883</v>
      </c>
    </row>
    <row r="44" spans="1:12" x14ac:dyDescent="0.3">
      <c r="A44" s="11">
        <v>41</v>
      </c>
      <c r="B44" s="12" t="s">
        <v>50</v>
      </c>
      <c r="C44" s="13">
        <v>2</v>
      </c>
      <c r="D44" s="14" t="s">
        <v>21</v>
      </c>
      <c r="E44" s="14" t="s">
        <v>12</v>
      </c>
      <c r="F44" s="14" t="s">
        <v>26</v>
      </c>
      <c r="G44" s="15">
        <v>764.13452005882357</v>
      </c>
      <c r="H44" s="16">
        <v>1105.0605805966177</v>
      </c>
      <c r="I44" s="15">
        <v>1433.2047408900737</v>
      </c>
      <c r="J44" s="17">
        <v>1061.5050529485295</v>
      </c>
      <c r="K44" s="17">
        <v>1754.0308347069122</v>
      </c>
      <c r="L44" s="16">
        <v>1390.0248431382358</v>
      </c>
    </row>
    <row r="45" spans="1:12" x14ac:dyDescent="0.3">
      <c r="A45" s="18">
        <v>42</v>
      </c>
      <c r="B45" s="19" t="s">
        <v>50</v>
      </c>
      <c r="C45" s="20">
        <v>2</v>
      </c>
      <c r="D45" s="21" t="s">
        <v>23</v>
      </c>
      <c r="E45" s="21" t="s">
        <v>12</v>
      </c>
      <c r="F45" s="21" t="s">
        <v>26</v>
      </c>
      <c r="G45" s="22">
        <v>764.13452005882357</v>
      </c>
      <c r="H45" s="23">
        <v>1105.0605805966177</v>
      </c>
      <c r="I45" s="22">
        <v>1433.2047408900737</v>
      </c>
      <c r="J45" s="24">
        <v>1061.5050529485295</v>
      </c>
      <c r="K45" s="24">
        <v>1754.0308347069122</v>
      </c>
      <c r="L45" s="23">
        <v>1390.0248431382358</v>
      </c>
    </row>
    <row r="46" spans="1:12" x14ac:dyDescent="0.3">
      <c r="A46" s="11">
        <v>43</v>
      </c>
      <c r="B46" s="12" t="s">
        <v>51</v>
      </c>
      <c r="C46" s="13">
        <v>2.4</v>
      </c>
      <c r="D46" s="14" t="s">
        <v>21</v>
      </c>
      <c r="E46" s="14" t="s">
        <v>12</v>
      </c>
      <c r="F46" s="14" t="s">
        <v>22</v>
      </c>
      <c r="G46" s="15">
        <v>706.57513216911775</v>
      </c>
      <c r="H46" s="16">
        <v>1000.3971795032353</v>
      </c>
      <c r="I46" s="15">
        <v>1317.3628267084562</v>
      </c>
      <c r="J46" s="17">
        <v>961.10645961029422</v>
      </c>
      <c r="K46" s="17">
        <v>1447.5968296238241</v>
      </c>
      <c r="L46" s="16">
        <v>1136.9355217705884</v>
      </c>
    </row>
    <row r="47" spans="1:12" x14ac:dyDescent="0.3">
      <c r="A47" s="18">
        <v>44</v>
      </c>
      <c r="B47" s="19" t="s">
        <v>51</v>
      </c>
      <c r="C47" s="20">
        <v>2.4</v>
      </c>
      <c r="D47" s="21" t="s">
        <v>23</v>
      </c>
      <c r="E47" s="21" t="s">
        <v>12</v>
      </c>
      <c r="F47" s="21" t="s">
        <v>22</v>
      </c>
      <c r="G47" s="22">
        <v>706.57513216911775</v>
      </c>
      <c r="H47" s="23">
        <v>1000.3971795032353</v>
      </c>
      <c r="I47" s="22">
        <v>1320.2249864253679</v>
      </c>
      <c r="J47" s="24">
        <v>963.83232600735289</v>
      </c>
      <c r="K47" s="24">
        <v>1450.3226960208826</v>
      </c>
      <c r="L47" s="23">
        <v>1139.5315850058826</v>
      </c>
    </row>
    <row r="48" spans="1:12" x14ac:dyDescent="0.3">
      <c r="A48" s="11">
        <v>45</v>
      </c>
      <c r="B48" s="12" t="s">
        <v>51</v>
      </c>
      <c r="C48" s="13">
        <v>3.5</v>
      </c>
      <c r="D48" s="14" t="s">
        <v>23</v>
      </c>
      <c r="E48" s="14" t="s">
        <v>12</v>
      </c>
      <c r="F48" s="14" t="s">
        <v>22</v>
      </c>
      <c r="G48" s="15">
        <v>670.69944076470597</v>
      </c>
      <c r="H48" s="16">
        <v>982.35317928742666</v>
      </c>
      <c r="I48" s="15">
        <v>1240.8275124411766</v>
      </c>
      <c r="J48" s="17">
        <v>946.06691941176507</v>
      </c>
      <c r="K48" s="17">
        <v>1347.4176784800741</v>
      </c>
      <c r="L48" s="16">
        <v>1026.8566299250003</v>
      </c>
    </row>
    <row r="49" spans="1:12" x14ac:dyDescent="0.3">
      <c r="A49" s="18">
        <v>46</v>
      </c>
      <c r="B49" s="19" t="s">
        <v>52</v>
      </c>
      <c r="C49" s="20">
        <v>3.3</v>
      </c>
      <c r="D49" s="21" t="s">
        <v>23</v>
      </c>
      <c r="E49" s="21" t="s">
        <v>12</v>
      </c>
      <c r="F49" s="21" t="s">
        <v>22</v>
      </c>
      <c r="G49" s="22">
        <v>677.35265211764704</v>
      </c>
      <c r="H49" s="23">
        <v>989.00639064036784</v>
      </c>
      <c r="I49" s="22">
        <v>1256.4841459779411</v>
      </c>
      <c r="J49" s="24">
        <v>955.23070485294147</v>
      </c>
      <c r="K49" s="24">
        <v>1446.40222776978</v>
      </c>
      <c r="L49" s="23">
        <v>1121.1276292485297</v>
      </c>
    </row>
    <row r="50" spans="1:12" x14ac:dyDescent="0.3">
      <c r="A50" s="11">
        <v>47</v>
      </c>
      <c r="B50" s="12" t="s">
        <v>106</v>
      </c>
      <c r="C50" s="13">
        <v>3.3</v>
      </c>
      <c r="D50" s="14" t="s">
        <v>23</v>
      </c>
      <c r="E50" s="14" t="s">
        <v>12</v>
      </c>
      <c r="F50" s="14" t="s">
        <v>22</v>
      </c>
      <c r="G50" s="15">
        <v>677.35265211764704</v>
      </c>
      <c r="H50" s="16">
        <v>989.00639064036784</v>
      </c>
      <c r="I50" s="15">
        <v>1256.4841459779411</v>
      </c>
      <c r="J50" s="17">
        <v>955.23070485294147</v>
      </c>
      <c r="K50" s="17">
        <v>1461.2233006447798</v>
      </c>
      <c r="L50" s="16">
        <v>1135.2429367485295</v>
      </c>
    </row>
    <row r="51" spans="1:12" x14ac:dyDescent="0.3">
      <c r="A51" s="18">
        <v>48</v>
      </c>
      <c r="B51" s="19" t="s">
        <v>52</v>
      </c>
      <c r="C51" s="20">
        <v>2.4</v>
      </c>
      <c r="D51" s="21" t="s">
        <v>21</v>
      </c>
      <c r="E51" s="21" t="s">
        <v>12</v>
      </c>
      <c r="F51" s="21" t="s">
        <v>22</v>
      </c>
      <c r="G51" s="22">
        <v>713.22834352205894</v>
      </c>
      <c r="H51" s="23">
        <v>1007.0503908561766</v>
      </c>
      <c r="I51" s="22">
        <v>1324.4683227047799</v>
      </c>
      <c r="J51" s="24">
        <v>962.12630453676491</v>
      </c>
      <c r="K51" s="24">
        <v>1523.6163655238236</v>
      </c>
      <c r="L51" s="23">
        <v>1209.3350797705882</v>
      </c>
    </row>
    <row r="52" spans="1:12" x14ac:dyDescent="0.3">
      <c r="A52" s="11">
        <v>49</v>
      </c>
      <c r="B52" s="12" t="s">
        <v>52</v>
      </c>
      <c r="C52" s="13">
        <v>2.4</v>
      </c>
      <c r="D52" s="14" t="s">
        <v>23</v>
      </c>
      <c r="E52" s="14" t="s">
        <v>12</v>
      </c>
      <c r="F52" s="14" t="s">
        <v>22</v>
      </c>
      <c r="G52" s="15">
        <v>713.22834352205894</v>
      </c>
      <c r="H52" s="16">
        <v>1007.0503908561766</v>
      </c>
      <c r="I52" s="15">
        <v>1331.1466953775739</v>
      </c>
      <c r="J52" s="17">
        <v>968.48665946323547</v>
      </c>
      <c r="K52" s="17">
        <v>1529.9767204502946</v>
      </c>
      <c r="L52" s="16">
        <v>1215.3925606529413</v>
      </c>
    </row>
    <row r="53" spans="1:12" x14ac:dyDescent="0.3">
      <c r="A53" s="18">
        <v>50</v>
      </c>
      <c r="B53" s="19" t="s">
        <v>106</v>
      </c>
      <c r="C53" s="20">
        <v>2.4</v>
      </c>
      <c r="D53" s="21" t="s">
        <v>21</v>
      </c>
      <c r="E53" s="21" t="s">
        <v>12</v>
      </c>
      <c r="F53" s="21" t="s">
        <v>22</v>
      </c>
      <c r="G53" s="22">
        <v>713.22834352205894</v>
      </c>
      <c r="H53" s="23">
        <v>1007.0503908561766</v>
      </c>
      <c r="I53" s="22">
        <v>1324.4683227047799</v>
      </c>
      <c r="J53" s="24">
        <v>962.12630453676491</v>
      </c>
      <c r="K53" s="24">
        <v>1538.4374383988236</v>
      </c>
      <c r="L53" s="23">
        <v>1223.4503872705884</v>
      </c>
    </row>
    <row r="54" spans="1:12" x14ac:dyDescent="0.3">
      <c r="A54" s="11">
        <v>51</v>
      </c>
      <c r="B54" s="12" t="s">
        <v>106</v>
      </c>
      <c r="C54" s="13">
        <v>2.4</v>
      </c>
      <c r="D54" s="14" t="s">
        <v>23</v>
      </c>
      <c r="E54" s="14" t="s">
        <v>12</v>
      </c>
      <c r="F54" s="14" t="s">
        <v>22</v>
      </c>
      <c r="G54" s="15">
        <v>713.22834352205894</v>
      </c>
      <c r="H54" s="16">
        <v>1007.0503908561766</v>
      </c>
      <c r="I54" s="15">
        <v>1331.1466953775739</v>
      </c>
      <c r="J54" s="17">
        <v>968.48665946323547</v>
      </c>
      <c r="K54" s="17">
        <v>1544.7977933252944</v>
      </c>
      <c r="L54" s="16">
        <v>1229.5078681529412</v>
      </c>
    </row>
    <row r="55" spans="1:12" x14ac:dyDescent="0.3">
      <c r="A55" s="18">
        <v>52</v>
      </c>
      <c r="B55" s="19" t="s">
        <v>106</v>
      </c>
      <c r="C55" s="20">
        <v>3.5</v>
      </c>
      <c r="D55" s="21" t="s">
        <v>23</v>
      </c>
      <c r="E55" s="21" t="s">
        <v>12</v>
      </c>
      <c r="F55" s="21" t="s">
        <v>22</v>
      </c>
      <c r="G55" s="22">
        <v>677.35265211764704</v>
      </c>
      <c r="H55" s="23">
        <v>989.00639064036784</v>
      </c>
      <c r="I55" s="22">
        <v>1260.3003589338234</v>
      </c>
      <c r="J55" s="24">
        <v>958.86519338235314</v>
      </c>
      <c r="K55" s="24">
        <v>1464.8577891741916</v>
      </c>
      <c r="L55" s="23">
        <v>1138.7043543955883</v>
      </c>
    </row>
    <row r="56" spans="1:12" x14ac:dyDescent="0.3">
      <c r="A56" s="11">
        <v>53</v>
      </c>
      <c r="B56" s="12" t="s">
        <v>53</v>
      </c>
      <c r="C56" s="13">
        <v>2.5</v>
      </c>
      <c r="D56" s="14" t="s">
        <v>23</v>
      </c>
      <c r="E56" s="14" t="s">
        <v>12</v>
      </c>
      <c r="F56" s="14" t="s">
        <v>22</v>
      </c>
      <c r="G56" s="15">
        <v>709.41205346323534</v>
      </c>
      <c r="H56" s="16">
        <v>1027.66637225875</v>
      </c>
      <c r="I56" s="15">
        <v>1305.3344837801471</v>
      </c>
      <c r="J56" s="17">
        <v>984.11152236764713</v>
      </c>
      <c r="K56" s="17">
        <v>1512.0291815624269</v>
      </c>
      <c r="L56" s="16">
        <v>1178.1991762779414</v>
      </c>
    </row>
    <row r="57" spans="1:12" x14ac:dyDescent="0.3">
      <c r="A57" s="18">
        <v>54</v>
      </c>
      <c r="B57" s="19" t="s">
        <v>53</v>
      </c>
      <c r="C57" s="20">
        <v>3.5</v>
      </c>
      <c r="D57" s="21" t="s">
        <v>23</v>
      </c>
      <c r="E57" s="21" t="s">
        <v>12</v>
      </c>
      <c r="F57" s="21" t="s">
        <v>22</v>
      </c>
      <c r="G57" s="22">
        <v>702.89807473529413</v>
      </c>
      <c r="H57" s="23">
        <v>1018.8195510355886</v>
      </c>
      <c r="I57" s="22">
        <v>1305.2352117077207</v>
      </c>
      <c r="J57" s="24">
        <v>985.93621283088248</v>
      </c>
      <c r="K57" s="24">
        <v>1511.5210295304416</v>
      </c>
      <c r="L57" s="23">
        <v>1179.6344572558824</v>
      </c>
    </row>
    <row r="58" spans="1:12" x14ac:dyDescent="0.3">
      <c r="A58" s="11">
        <v>55</v>
      </c>
      <c r="B58" s="12" t="s">
        <v>53</v>
      </c>
      <c r="C58" s="13">
        <v>2.2000000000000002</v>
      </c>
      <c r="D58" s="14" t="s">
        <v>45</v>
      </c>
      <c r="E58" s="14" t="s">
        <v>12</v>
      </c>
      <c r="F58" s="14" t="s">
        <v>35</v>
      </c>
      <c r="G58" s="15">
        <v>843.4526677911764</v>
      </c>
      <c r="H58" s="16">
        <v>1209.7843533619116</v>
      </c>
      <c r="I58" s="15">
        <v>1512.1806880450733</v>
      </c>
      <c r="J58" s="17">
        <v>1141.5545387544116</v>
      </c>
      <c r="K58" s="17">
        <v>1649.0562403725737</v>
      </c>
      <c r="L58" s="16">
        <v>1269.1477684220588</v>
      </c>
    </row>
    <row r="59" spans="1:12" x14ac:dyDescent="0.3">
      <c r="A59" s="18">
        <v>56</v>
      </c>
      <c r="B59" s="19" t="s">
        <v>54</v>
      </c>
      <c r="C59" s="20">
        <v>2.2000000000000002</v>
      </c>
      <c r="D59" s="21" t="s">
        <v>23</v>
      </c>
      <c r="E59" s="21" t="s">
        <v>12</v>
      </c>
      <c r="F59" s="21" t="s">
        <v>35</v>
      </c>
      <c r="G59" s="22">
        <v>925.88783463235302</v>
      </c>
      <c r="H59" s="23">
        <v>1305.0168276054414</v>
      </c>
      <c r="I59" s="22">
        <v>1791.7450304430154</v>
      </c>
      <c r="J59" s="24">
        <v>1356.1722698897061</v>
      </c>
      <c r="K59" s="24">
        <v>1896.793304070515</v>
      </c>
      <c r="L59" s="23">
        <v>1494.5594526161767</v>
      </c>
    </row>
    <row r="60" spans="1:12" x14ac:dyDescent="0.3">
      <c r="A60" s="11">
        <v>57</v>
      </c>
      <c r="B60" s="12" t="s">
        <v>54</v>
      </c>
      <c r="C60" s="13">
        <v>3.3</v>
      </c>
      <c r="D60" s="14" t="s">
        <v>23</v>
      </c>
      <c r="E60" s="14" t="s">
        <v>12</v>
      </c>
      <c r="F60" s="14" t="s">
        <v>22</v>
      </c>
      <c r="G60" s="15">
        <v>677.35265211764704</v>
      </c>
      <c r="H60" s="16">
        <v>989.00639064036784</v>
      </c>
      <c r="I60" s="15">
        <v>1278.427370474265</v>
      </c>
      <c r="J60" s="17">
        <v>976.12901389705894</v>
      </c>
      <c r="K60" s="17">
        <v>1465.2756464021329</v>
      </c>
      <c r="L60" s="16">
        <v>1139.1023136602944</v>
      </c>
    </row>
    <row r="61" spans="1:12" x14ac:dyDescent="0.3">
      <c r="A61" s="18">
        <v>58</v>
      </c>
      <c r="B61" s="19" t="s">
        <v>55</v>
      </c>
      <c r="C61" s="20">
        <v>3.5</v>
      </c>
      <c r="D61" s="21" t="s">
        <v>23</v>
      </c>
      <c r="E61" s="21" t="s">
        <v>12</v>
      </c>
      <c r="F61" s="21" t="s">
        <v>22</v>
      </c>
      <c r="G61" s="22">
        <v>702.89807473529413</v>
      </c>
      <c r="H61" s="23">
        <v>1018.8195510355886</v>
      </c>
      <c r="I61" s="22">
        <v>1305.2352117077207</v>
      </c>
      <c r="J61" s="24">
        <v>985.93621283088248</v>
      </c>
      <c r="K61" s="24">
        <v>1511.5210295304416</v>
      </c>
      <c r="L61" s="23">
        <v>1179.6344572558824</v>
      </c>
    </row>
    <row r="62" spans="1:12" x14ac:dyDescent="0.3">
      <c r="A62" s="11">
        <v>59</v>
      </c>
      <c r="B62" s="12" t="s">
        <v>56</v>
      </c>
      <c r="C62" s="13">
        <v>3.8</v>
      </c>
      <c r="D62" s="14" t="s">
        <v>23</v>
      </c>
      <c r="E62" s="14" t="s">
        <v>12</v>
      </c>
      <c r="F62" s="14" t="s">
        <v>22</v>
      </c>
      <c r="G62" s="29">
        <v>678.71463197794128</v>
      </c>
      <c r="H62" s="30">
        <v>990.36837050066197</v>
      </c>
      <c r="I62" s="29">
        <v>1245.6813254375002</v>
      </c>
      <c r="J62" s="31">
        <v>943.76577492647073</v>
      </c>
      <c r="K62" s="31">
        <v>1437.3545107723533</v>
      </c>
      <c r="L62" s="30">
        <v>1112.5107559176472</v>
      </c>
    </row>
  </sheetData>
  <mergeCells count="4">
    <mergeCell ref="A1:F1"/>
    <mergeCell ref="J1:K1"/>
    <mergeCell ref="G2:H2"/>
    <mergeCell ref="I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9935-2D7A-4CCD-81FC-C5A812CFEC33}">
  <dimension ref="A1:L9"/>
  <sheetViews>
    <sheetView tabSelected="1" workbookViewId="0">
      <selection activeCell="G7" sqref="G7"/>
    </sheetView>
  </sheetViews>
  <sheetFormatPr baseColWidth="10" defaultRowHeight="14.4" x14ac:dyDescent="0.3"/>
  <cols>
    <col min="2" max="2" width="17.109375" bestFit="1" customWidth="1"/>
  </cols>
  <sheetData>
    <row r="1" spans="1:12" ht="18" x14ac:dyDescent="0.35">
      <c r="A1" s="211" t="s">
        <v>57</v>
      </c>
      <c r="B1" s="211"/>
      <c r="C1" s="211"/>
      <c r="D1" s="211"/>
      <c r="E1" s="211"/>
      <c r="F1" s="211"/>
      <c r="G1" s="1" t="s">
        <v>1</v>
      </c>
      <c r="H1" s="2">
        <v>0.3</v>
      </c>
    </row>
    <row r="2" spans="1:12" x14ac:dyDescent="0.3">
      <c r="G2" s="208" t="s">
        <v>3</v>
      </c>
      <c r="H2" s="209"/>
      <c r="I2" s="208" t="s">
        <v>4</v>
      </c>
      <c r="J2" s="210"/>
      <c r="K2" s="210"/>
      <c r="L2" s="209"/>
    </row>
    <row r="3" spans="1:12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58</v>
      </c>
      <c r="H3" s="7" t="s">
        <v>59</v>
      </c>
      <c r="I3" s="48" t="s">
        <v>18</v>
      </c>
      <c r="J3" s="48" t="s">
        <v>107</v>
      </c>
      <c r="K3" s="48" t="s">
        <v>108</v>
      </c>
      <c r="L3" s="48" t="s">
        <v>109</v>
      </c>
    </row>
    <row r="4" spans="1:12" x14ac:dyDescent="0.3">
      <c r="A4" s="11">
        <v>1</v>
      </c>
      <c r="B4" s="12" t="s">
        <v>60</v>
      </c>
      <c r="C4" s="12">
        <v>1.6</v>
      </c>
      <c r="D4" s="14" t="s">
        <v>45</v>
      </c>
      <c r="E4" s="14" t="s">
        <v>13</v>
      </c>
      <c r="F4" s="14" t="s">
        <v>61</v>
      </c>
      <c r="G4" s="15">
        <v>864.72899079411775</v>
      </c>
      <c r="H4" s="16">
        <v>1278.3479497774999</v>
      </c>
      <c r="I4" s="15">
        <v>1035.5219045500003</v>
      </c>
      <c r="J4" s="17">
        <v>958.87485425735304</v>
      </c>
      <c r="K4" s="17">
        <v>1229.7385319470591</v>
      </c>
      <c r="L4" s="17">
        <v>1262.0938635735295</v>
      </c>
    </row>
    <row r="5" spans="1:12" x14ac:dyDescent="0.3">
      <c r="A5" s="18">
        <v>2</v>
      </c>
      <c r="B5" s="19" t="s">
        <v>62</v>
      </c>
      <c r="C5" s="19">
        <v>1.6</v>
      </c>
      <c r="D5" s="21" t="s">
        <v>45</v>
      </c>
      <c r="E5" s="21" t="s">
        <v>13</v>
      </c>
      <c r="F5" s="21" t="s">
        <v>61</v>
      </c>
      <c r="G5" s="22">
        <v>860.76560288970597</v>
      </c>
      <c r="H5" s="23">
        <v>1267.3480676922063</v>
      </c>
      <c r="I5" s="24">
        <v>1030.8347675500004</v>
      </c>
      <c r="J5" s="24">
        <v>953.4984324044118</v>
      </c>
      <c r="K5" s="24">
        <v>1205.7190866308827</v>
      </c>
      <c r="L5" s="24">
        <v>1238.305719514706</v>
      </c>
    </row>
    <row r="6" spans="1:12" x14ac:dyDescent="0.3">
      <c r="A6" s="11">
        <v>3</v>
      </c>
      <c r="B6" s="12" t="s">
        <v>63</v>
      </c>
      <c r="C6" s="12">
        <v>1.6</v>
      </c>
      <c r="D6" s="14" t="s">
        <v>45</v>
      </c>
      <c r="E6" s="14" t="s">
        <v>13</v>
      </c>
      <c r="F6" s="14" t="s">
        <v>61</v>
      </c>
      <c r="G6" s="15">
        <v>897.57521787500036</v>
      </c>
      <c r="H6" s="16">
        <v>1304.1576826775004</v>
      </c>
      <c r="I6" s="15">
        <v>1065.8915437264709</v>
      </c>
      <c r="J6" s="17">
        <v>986.88583828676485</v>
      </c>
      <c r="K6" s="17">
        <v>1319.7999660794119</v>
      </c>
      <c r="L6" s="17">
        <v>1338.3001802058823</v>
      </c>
    </row>
    <row r="7" spans="1:12" x14ac:dyDescent="0.3">
      <c r="A7" s="18">
        <v>4</v>
      </c>
      <c r="B7" s="19" t="s">
        <v>64</v>
      </c>
      <c r="C7" s="19"/>
      <c r="D7" s="21"/>
      <c r="E7" s="21" t="s">
        <v>13</v>
      </c>
      <c r="F7" s="21" t="s">
        <v>65</v>
      </c>
      <c r="G7" s="22">
        <v>667.69274913970582</v>
      </c>
      <c r="H7" s="23">
        <v>1164.8880588635293</v>
      </c>
      <c r="I7" s="24">
        <v>939.18619891764706</v>
      </c>
      <c r="J7" s="24">
        <v>826.77701384558827</v>
      </c>
      <c r="K7" s="24">
        <v>1090.6950224470588</v>
      </c>
      <c r="L7" s="24">
        <v>826.77701384558827</v>
      </c>
    </row>
    <row r="8" spans="1:12" x14ac:dyDescent="0.3">
      <c r="A8" s="11">
        <v>5</v>
      </c>
      <c r="B8" s="12" t="s">
        <v>66</v>
      </c>
      <c r="C8" s="12"/>
      <c r="D8" s="14"/>
      <c r="E8" s="14" t="s">
        <v>13</v>
      </c>
      <c r="F8" s="14" t="s">
        <v>65</v>
      </c>
      <c r="G8" s="15">
        <v>621.46277411029405</v>
      </c>
      <c r="H8" s="16">
        <v>1074.1976775569119</v>
      </c>
      <c r="I8" s="15">
        <v>877.19876013823534</v>
      </c>
      <c r="J8" s="17">
        <v>773.7364016838236</v>
      </c>
      <c r="K8" s="17">
        <v>1028.3938266823532</v>
      </c>
      <c r="L8" s="17">
        <v>775.79229138970618</v>
      </c>
    </row>
    <row r="9" spans="1:12" x14ac:dyDescent="0.3">
      <c r="A9" s="36">
        <v>6</v>
      </c>
      <c r="B9" s="37" t="s">
        <v>67</v>
      </c>
      <c r="C9" s="37"/>
      <c r="D9" s="38"/>
      <c r="E9" s="38" t="s">
        <v>13</v>
      </c>
      <c r="F9" s="38" t="s">
        <v>68</v>
      </c>
      <c r="G9" s="22">
        <v>576.13040609558834</v>
      </c>
      <c r="H9" s="23">
        <v>1006.6337002297058</v>
      </c>
      <c r="I9" s="24">
        <v>812.8521150647058</v>
      </c>
      <c r="J9" s="24">
        <v>712.4538825661765</v>
      </c>
      <c r="K9" s="24">
        <v>928.56868991764725</v>
      </c>
      <c r="L9" s="24">
        <v>699.01073256617656</v>
      </c>
    </row>
  </sheetData>
  <mergeCells count="3">
    <mergeCell ref="A1:F1"/>
    <mergeCell ref="G2:H2"/>
    <mergeCell ref="I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63E5-7E4F-460B-BC1F-CED85FD90B7E}">
  <dimension ref="A1:Y40"/>
  <sheetViews>
    <sheetView topLeftCell="A24" workbookViewId="0">
      <selection activeCell="D15" sqref="D15"/>
    </sheetView>
  </sheetViews>
  <sheetFormatPr baseColWidth="10" defaultRowHeight="14.4" x14ac:dyDescent="0.3"/>
  <cols>
    <col min="2" max="2" width="22.33203125" bestFit="1" customWidth="1"/>
  </cols>
  <sheetData>
    <row r="1" spans="1:25" ht="18" x14ac:dyDescent="0.35">
      <c r="A1" s="211" t="s">
        <v>0</v>
      </c>
      <c r="B1" s="211"/>
      <c r="C1" s="211"/>
      <c r="D1" s="211"/>
      <c r="E1" s="211"/>
      <c r="F1" s="211"/>
      <c r="G1" s="1" t="s">
        <v>1</v>
      </c>
      <c r="H1" s="2">
        <v>0.25</v>
      </c>
      <c r="J1" s="207" t="s">
        <v>2</v>
      </c>
      <c r="K1" s="207"/>
      <c r="L1" s="3">
        <v>3.4</v>
      </c>
    </row>
    <row r="3" spans="1:25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69</v>
      </c>
      <c r="H3" s="40" t="s">
        <v>79</v>
      </c>
      <c r="I3" s="39" t="s">
        <v>70</v>
      </c>
      <c r="J3" s="39" t="s">
        <v>80</v>
      </c>
      <c r="K3" s="39" t="s">
        <v>71</v>
      </c>
      <c r="L3" s="39" t="s">
        <v>81</v>
      </c>
      <c r="M3" s="39" t="s">
        <v>72</v>
      </c>
      <c r="N3" s="39" t="s">
        <v>82</v>
      </c>
      <c r="O3" s="39" t="s">
        <v>73</v>
      </c>
      <c r="P3" s="39" t="s">
        <v>83</v>
      </c>
      <c r="Q3" s="39" t="s">
        <v>74</v>
      </c>
      <c r="R3" s="39" t="s">
        <v>84</v>
      </c>
      <c r="S3" s="39" t="s">
        <v>75</v>
      </c>
      <c r="T3" s="39" t="s">
        <v>85</v>
      </c>
      <c r="U3" s="39" t="s">
        <v>76</v>
      </c>
      <c r="V3" s="39" t="s">
        <v>86</v>
      </c>
      <c r="W3" s="39" t="s">
        <v>77</v>
      </c>
      <c r="X3" s="41" t="s">
        <v>87</v>
      </c>
      <c r="Y3" s="7" t="s">
        <v>78</v>
      </c>
    </row>
    <row r="4" spans="1:25" x14ac:dyDescent="0.3">
      <c r="A4" s="11">
        <v>1</v>
      </c>
      <c r="B4" s="12" t="s">
        <v>20</v>
      </c>
      <c r="C4" s="13">
        <v>1</v>
      </c>
      <c r="D4" s="14" t="s">
        <v>21</v>
      </c>
      <c r="E4" s="14" t="s">
        <v>11</v>
      </c>
      <c r="F4" s="14" t="s">
        <v>22</v>
      </c>
      <c r="G4" s="15">
        <v>306.30682941176468</v>
      </c>
      <c r="H4" s="17">
        <v>306.30682941176468</v>
      </c>
      <c r="I4" s="17">
        <v>359.16085147058823</v>
      </c>
      <c r="J4" s="17">
        <v>359.16085147058823</v>
      </c>
      <c r="K4" s="17">
        <v>385.20536029411755</v>
      </c>
      <c r="L4" s="17">
        <v>385.20536029411755</v>
      </c>
      <c r="M4" s="17">
        <v>446.32424117647054</v>
      </c>
      <c r="N4" s="17">
        <v>446.32424117647054</v>
      </c>
      <c r="O4" s="17">
        <v>384.75131470588229</v>
      </c>
      <c r="P4" s="17">
        <v>384.75131470588229</v>
      </c>
      <c r="Q4" s="17">
        <v>465.49438235294122</v>
      </c>
      <c r="R4" s="17">
        <v>465.49438235294122</v>
      </c>
      <c r="S4" s="17">
        <v>306.30682941176468</v>
      </c>
      <c r="T4" s="17">
        <v>306.30682941176468</v>
      </c>
      <c r="U4" s="17">
        <v>446.32424117647054</v>
      </c>
      <c r="V4" s="17">
        <v>446.32424117647054</v>
      </c>
      <c r="W4" s="17">
        <v>463.64984558823534</v>
      </c>
      <c r="X4" s="17">
        <v>463.64984558823534</v>
      </c>
      <c r="Y4" s="42">
        <v>306.30682941176468</v>
      </c>
    </row>
    <row r="5" spans="1:25" x14ac:dyDescent="0.3">
      <c r="A5" s="18">
        <v>2</v>
      </c>
      <c r="B5" s="19" t="s">
        <v>20</v>
      </c>
      <c r="C5" s="20">
        <v>1.2</v>
      </c>
      <c r="D5" s="21" t="s">
        <v>21</v>
      </c>
      <c r="E5" s="21" t="s">
        <v>11</v>
      </c>
      <c r="F5" s="21" t="s">
        <v>22</v>
      </c>
      <c r="G5" s="22">
        <v>318.48547058823522</v>
      </c>
      <c r="H5" s="24">
        <v>318.48547058823522</v>
      </c>
      <c r="I5" s="24">
        <v>371.33949264705876</v>
      </c>
      <c r="J5" s="24">
        <v>371.33949264705876</v>
      </c>
      <c r="K5" s="24">
        <v>397.38400147058826</v>
      </c>
      <c r="L5" s="24">
        <v>397.38400147058826</v>
      </c>
      <c r="M5" s="24">
        <v>453.81758823529412</v>
      </c>
      <c r="N5" s="24">
        <v>453.81758823529412</v>
      </c>
      <c r="O5" s="24">
        <v>396.92995588235294</v>
      </c>
      <c r="P5" s="24">
        <v>396.92995588235294</v>
      </c>
      <c r="Q5" s="24">
        <v>477.67302352941169</v>
      </c>
      <c r="R5" s="24">
        <v>477.67302352941169</v>
      </c>
      <c r="S5" s="24">
        <v>318.48547058823522</v>
      </c>
      <c r="T5" s="24">
        <v>318.48547058823522</v>
      </c>
      <c r="U5" s="24">
        <v>453.81758823529412</v>
      </c>
      <c r="V5" s="24">
        <v>453.81758823529412</v>
      </c>
      <c r="W5" s="24">
        <v>475.82848676470587</v>
      </c>
      <c r="X5" s="24">
        <v>475.82848676470587</v>
      </c>
      <c r="Y5" s="23">
        <v>318.48547058823522</v>
      </c>
    </row>
    <row r="6" spans="1:25" x14ac:dyDescent="0.3">
      <c r="A6" s="11">
        <v>3</v>
      </c>
      <c r="B6" s="12" t="s">
        <v>20</v>
      </c>
      <c r="C6" s="13">
        <v>1.2</v>
      </c>
      <c r="D6" s="14" t="s">
        <v>23</v>
      </c>
      <c r="E6" s="14" t="s">
        <v>11</v>
      </c>
      <c r="F6" s="14" t="s">
        <v>22</v>
      </c>
      <c r="G6" s="15">
        <v>318.48547058823522</v>
      </c>
      <c r="H6" s="17">
        <v>318.48547058823522</v>
      </c>
      <c r="I6" s="17">
        <v>371.33949264705876</v>
      </c>
      <c r="J6" s="17">
        <v>371.33949264705876</v>
      </c>
      <c r="K6" s="17">
        <v>397.38400147058826</v>
      </c>
      <c r="L6" s="17">
        <v>397.38400147058826</v>
      </c>
      <c r="M6" s="17">
        <v>453.81758823529412</v>
      </c>
      <c r="N6" s="17">
        <v>453.81758823529412</v>
      </c>
      <c r="O6" s="17">
        <v>396.92995588235294</v>
      </c>
      <c r="P6" s="17">
        <v>396.92995588235294</v>
      </c>
      <c r="Q6" s="17">
        <v>477.67302352941169</v>
      </c>
      <c r="R6" s="17">
        <v>477.67302352941169</v>
      </c>
      <c r="S6" s="17">
        <v>318.48547058823522</v>
      </c>
      <c r="T6" s="17">
        <v>318.48547058823522</v>
      </c>
      <c r="U6" s="17">
        <v>453.81758823529412</v>
      </c>
      <c r="V6" s="17">
        <v>453.81758823529412</v>
      </c>
      <c r="W6" s="17">
        <v>475.82848676470587</v>
      </c>
      <c r="X6" s="17">
        <v>475.82848676470587</v>
      </c>
      <c r="Y6" s="42">
        <v>318.48547058823522</v>
      </c>
    </row>
    <row r="7" spans="1:25" x14ac:dyDescent="0.3">
      <c r="A7" s="18">
        <v>4</v>
      </c>
      <c r="B7" s="19" t="s">
        <v>24</v>
      </c>
      <c r="C7" s="20">
        <v>1</v>
      </c>
      <c r="D7" s="21" t="s">
        <v>21</v>
      </c>
      <c r="E7" s="21" t="s">
        <v>11</v>
      </c>
      <c r="F7" s="21" t="s">
        <v>22</v>
      </c>
      <c r="G7" s="22">
        <v>306.30682941176468</v>
      </c>
      <c r="H7" s="24">
        <v>306.30682941176468</v>
      </c>
      <c r="I7" s="24">
        <v>359.16085147058823</v>
      </c>
      <c r="J7" s="24">
        <v>359.16085147058823</v>
      </c>
      <c r="K7" s="24">
        <v>385.20536029411755</v>
      </c>
      <c r="L7" s="24">
        <v>385.20536029411755</v>
      </c>
      <c r="M7" s="24">
        <v>446.32424117647054</v>
      </c>
      <c r="N7" s="24">
        <v>446.32424117647054</v>
      </c>
      <c r="O7" s="24">
        <v>384.75131470588229</v>
      </c>
      <c r="P7" s="24">
        <v>384.75131470588229</v>
      </c>
      <c r="Q7" s="24">
        <v>465.49438235294122</v>
      </c>
      <c r="R7" s="24">
        <v>465.49438235294122</v>
      </c>
      <c r="S7" s="24">
        <v>306.30682941176468</v>
      </c>
      <c r="T7" s="24">
        <v>306.30682941176468</v>
      </c>
      <c r="U7" s="24">
        <v>446.32424117647054</v>
      </c>
      <c r="V7" s="24">
        <v>446.32424117647054</v>
      </c>
      <c r="W7" s="24">
        <v>463.64984558823534</v>
      </c>
      <c r="X7" s="24">
        <v>463.64984558823534</v>
      </c>
      <c r="Y7" s="23">
        <v>306.30682941176468</v>
      </c>
    </row>
    <row r="8" spans="1:25" x14ac:dyDescent="0.3">
      <c r="A8" s="11">
        <v>5</v>
      </c>
      <c r="B8" s="12" t="s">
        <v>24</v>
      </c>
      <c r="C8" s="13">
        <v>1.2</v>
      </c>
      <c r="D8" s="14" t="s">
        <v>21</v>
      </c>
      <c r="E8" s="14" t="s">
        <v>11</v>
      </c>
      <c r="F8" s="14" t="s">
        <v>22</v>
      </c>
      <c r="G8" s="15">
        <v>318.48547058823522</v>
      </c>
      <c r="H8" s="17">
        <v>318.48547058823522</v>
      </c>
      <c r="I8" s="17">
        <v>371.33949264705876</v>
      </c>
      <c r="J8" s="17">
        <v>371.33949264705876</v>
      </c>
      <c r="K8" s="17">
        <v>397.38400147058826</v>
      </c>
      <c r="L8" s="17">
        <v>397.38400147058826</v>
      </c>
      <c r="M8" s="17">
        <v>453.81758823529412</v>
      </c>
      <c r="N8" s="17">
        <v>453.81758823529412</v>
      </c>
      <c r="O8" s="17">
        <v>396.92995588235294</v>
      </c>
      <c r="P8" s="17">
        <v>396.92995588235294</v>
      </c>
      <c r="Q8" s="17">
        <v>477.67302352941169</v>
      </c>
      <c r="R8" s="17">
        <v>477.67302352941169</v>
      </c>
      <c r="S8" s="17">
        <v>318.48547058823522</v>
      </c>
      <c r="T8" s="17">
        <v>318.48547058823522</v>
      </c>
      <c r="U8" s="17">
        <v>453.81758823529412</v>
      </c>
      <c r="V8" s="17">
        <v>453.81758823529412</v>
      </c>
      <c r="W8" s="17">
        <v>475.82848676470587</v>
      </c>
      <c r="X8" s="17">
        <v>475.82848676470587</v>
      </c>
      <c r="Y8" s="42">
        <v>318.48547058823522</v>
      </c>
    </row>
    <row r="9" spans="1:25" x14ac:dyDescent="0.3">
      <c r="A9" s="18">
        <v>6</v>
      </c>
      <c r="B9" s="19" t="s">
        <v>24</v>
      </c>
      <c r="C9" s="20">
        <v>1.2</v>
      </c>
      <c r="D9" s="21" t="s">
        <v>23</v>
      </c>
      <c r="E9" s="21" t="s">
        <v>11</v>
      </c>
      <c r="F9" s="21" t="s">
        <v>22</v>
      </c>
      <c r="G9" s="22">
        <v>318.48547058823522</v>
      </c>
      <c r="H9" s="24">
        <v>318.48547058823522</v>
      </c>
      <c r="I9" s="24">
        <v>371.33949264705876</v>
      </c>
      <c r="J9" s="24">
        <v>371.33949264705876</v>
      </c>
      <c r="K9" s="24">
        <v>397.38400147058826</v>
      </c>
      <c r="L9" s="24">
        <v>397.38400147058826</v>
      </c>
      <c r="M9" s="24">
        <v>453.81758823529412</v>
      </c>
      <c r="N9" s="24">
        <v>453.81758823529412</v>
      </c>
      <c r="O9" s="24">
        <v>396.92995588235294</v>
      </c>
      <c r="P9" s="24">
        <v>396.92995588235294</v>
      </c>
      <c r="Q9" s="24">
        <v>477.67302352941169</v>
      </c>
      <c r="R9" s="24">
        <v>477.67302352941169</v>
      </c>
      <c r="S9" s="24">
        <v>318.48547058823522</v>
      </c>
      <c r="T9" s="24">
        <v>318.48547058823522</v>
      </c>
      <c r="U9" s="24">
        <v>453.81758823529412</v>
      </c>
      <c r="V9" s="24">
        <v>453.81758823529412</v>
      </c>
      <c r="W9" s="24">
        <v>475.82848676470587</v>
      </c>
      <c r="X9" s="24">
        <v>475.82848676470587</v>
      </c>
      <c r="Y9" s="23">
        <v>318.48547058823522</v>
      </c>
    </row>
    <row r="10" spans="1:25" x14ac:dyDescent="0.3">
      <c r="A10" s="11">
        <v>7</v>
      </c>
      <c r="B10" s="12" t="s">
        <v>25</v>
      </c>
      <c r="C10" s="13">
        <v>1.4</v>
      </c>
      <c r="D10" s="14" t="s">
        <v>21</v>
      </c>
      <c r="E10" s="14" t="s">
        <v>11</v>
      </c>
      <c r="F10" s="14" t="s">
        <v>22</v>
      </c>
      <c r="G10" s="15">
        <v>318.48547058823522</v>
      </c>
      <c r="H10" s="17">
        <v>318.48547058823522</v>
      </c>
      <c r="I10" s="17">
        <v>384.44660294117642</v>
      </c>
      <c r="J10" s="17">
        <v>384.44660294117642</v>
      </c>
      <c r="K10" s="17">
        <v>397.38400147058826</v>
      </c>
      <c r="L10" s="17">
        <v>397.38400147058826</v>
      </c>
      <c r="M10" s="17">
        <v>565.80002205882352</v>
      </c>
      <c r="N10" s="17">
        <v>565.80002205882352</v>
      </c>
      <c r="O10" s="17">
        <v>399.57899999999995</v>
      </c>
      <c r="P10" s="17">
        <v>399.57899999999995</v>
      </c>
      <c r="Q10" s="17">
        <v>590.4051044117648</v>
      </c>
      <c r="R10" s="17">
        <v>590.4051044117648</v>
      </c>
      <c r="S10" s="17">
        <v>318.48547058823522</v>
      </c>
      <c r="T10" s="17">
        <v>318.48547058823522</v>
      </c>
      <c r="U10" s="17">
        <v>565.80002205882352</v>
      </c>
      <c r="V10" s="17">
        <v>565.80002205882352</v>
      </c>
      <c r="W10" s="17">
        <v>478.47753088235299</v>
      </c>
      <c r="X10" s="17">
        <v>478.47753088235299</v>
      </c>
      <c r="Y10" s="42">
        <v>318.48547058823522</v>
      </c>
    </row>
    <row r="11" spans="1:25" x14ac:dyDescent="0.3">
      <c r="A11" s="18">
        <v>8</v>
      </c>
      <c r="B11" s="19" t="s">
        <v>25</v>
      </c>
      <c r="C11" s="20">
        <v>1.4</v>
      </c>
      <c r="D11" s="21" t="s">
        <v>23</v>
      </c>
      <c r="E11" s="21" t="s">
        <v>11</v>
      </c>
      <c r="F11" s="21" t="s">
        <v>22</v>
      </c>
      <c r="G11" s="22">
        <v>318.48547058823522</v>
      </c>
      <c r="H11" s="24">
        <v>318.48547058823522</v>
      </c>
      <c r="I11" s="24">
        <v>384.44660294117642</v>
      </c>
      <c r="J11" s="24">
        <v>384.44660294117642</v>
      </c>
      <c r="K11" s="24">
        <v>397.38400147058826</v>
      </c>
      <c r="L11" s="24">
        <v>397.38400147058826</v>
      </c>
      <c r="M11" s="24">
        <v>565.80002205882352</v>
      </c>
      <c r="N11" s="24">
        <v>565.80002205882352</v>
      </c>
      <c r="O11" s="24">
        <v>399.57899999999995</v>
      </c>
      <c r="P11" s="24">
        <v>399.57899999999995</v>
      </c>
      <c r="Q11" s="24">
        <v>590.4051044117648</v>
      </c>
      <c r="R11" s="24">
        <v>590.4051044117648</v>
      </c>
      <c r="S11" s="24">
        <v>318.48547058823522</v>
      </c>
      <c r="T11" s="24">
        <v>318.48547058823522</v>
      </c>
      <c r="U11" s="24">
        <v>565.80002205882352</v>
      </c>
      <c r="V11" s="24">
        <v>565.80002205882352</v>
      </c>
      <c r="W11" s="24">
        <v>478.47753088235299</v>
      </c>
      <c r="X11" s="24">
        <v>478.47753088235299</v>
      </c>
      <c r="Y11" s="23">
        <v>318.48547058823522</v>
      </c>
    </row>
    <row r="12" spans="1:25" x14ac:dyDescent="0.3">
      <c r="A12" s="11">
        <v>9</v>
      </c>
      <c r="B12" s="12" t="s">
        <v>25</v>
      </c>
      <c r="C12" s="13">
        <v>1.4</v>
      </c>
      <c r="D12" s="14" t="s">
        <v>21</v>
      </c>
      <c r="E12" s="14" t="s">
        <v>11</v>
      </c>
      <c r="F12" s="14" t="s">
        <v>26</v>
      </c>
      <c r="G12" s="15">
        <v>358.78811029411759</v>
      </c>
      <c r="H12" s="17">
        <v>358.78811029411759</v>
      </c>
      <c r="I12" s="17">
        <v>468.48386029411756</v>
      </c>
      <c r="J12" s="17">
        <v>468.48386029411756</v>
      </c>
      <c r="K12" s="17">
        <v>437.68664117647057</v>
      </c>
      <c r="L12" s="17">
        <v>437.68664117647057</v>
      </c>
      <c r="M12" s="17">
        <v>649.83727941176471</v>
      </c>
      <c r="N12" s="17">
        <v>649.83727941176471</v>
      </c>
      <c r="O12" s="17">
        <v>439.88163970588232</v>
      </c>
      <c r="P12" s="17">
        <v>439.88163970588232</v>
      </c>
      <c r="Q12" s="17">
        <v>776.8576852941178</v>
      </c>
      <c r="R12" s="17">
        <v>776.8576852941178</v>
      </c>
      <c r="S12" s="17">
        <v>358.78811029411759</v>
      </c>
      <c r="T12" s="17">
        <v>358.78811029411759</v>
      </c>
      <c r="U12" s="17">
        <v>649.83727941176471</v>
      </c>
      <c r="V12" s="17">
        <v>649.83727941176471</v>
      </c>
      <c r="W12" s="17">
        <v>518.78017058823536</v>
      </c>
      <c r="X12" s="17">
        <v>518.78017058823536</v>
      </c>
      <c r="Y12" s="42">
        <v>470.60916176470585</v>
      </c>
    </row>
    <row r="13" spans="1:25" x14ac:dyDescent="0.3">
      <c r="A13" s="18">
        <v>10</v>
      </c>
      <c r="B13" s="19" t="s">
        <v>25</v>
      </c>
      <c r="C13" s="20">
        <v>1.4</v>
      </c>
      <c r="D13" s="21" t="s">
        <v>23</v>
      </c>
      <c r="E13" s="21" t="s">
        <v>11</v>
      </c>
      <c r="F13" s="21" t="s">
        <v>26</v>
      </c>
      <c r="G13" s="22">
        <v>358.78811029411759</v>
      </c>
      <c r="H13" s="24">
        <v>358.78811029411759</v>
      </c>
      <c r="I13" s="24">
        <v>468.48386029411756</v>
      </c>
      <c r="J13" s="24">
        <v>468.48386029411756</v>
      </c>
      <c r="K13" s="24">
        <v>437.68664117647057</v>
      </c>
      <c r="L13" s="24">
        <v>437.68664117647057</v>
      </c>
      <c r="M13" s="24">
        <v>649.83727941176471</v>
      </c>
      <c r="N13" s="24">
        <v>649.83727941176471</v>
      </c>
      <c r="O13" s="24">
        <v>439.88163970588232</v>
      </c>
      <c r="P13" s="24">
        <v>439.88163970588232</v>
      </c>
      <c r="Q13" s="24">
        <v>776.8576852941178</v>
      </c>
      <c r="R13" s="24">
        <v>776.8576852941178</v>
      </c>
      <c r="S13" s="24">
        <v>358.78811029411759</v>
      </c>
      <c r="T13" s="24">
        <v>358.78811029411759</v>
      </c>
      <c r="U13" s="24">
        <v>649.83727941176471</v>
      </c>
      <c r="V13" s="24">
        <v>649.83727941176471</v>
      </c>
      <c r="W13" s="24">
        <v>518.78017058823536</v>
      </c>
      <c r="X13" s="24">
        <v>518.78017058823536</v>
      </c>
      <c r="Y13" s="23">
        <v>470.60916176470585</v>
      </c>
    </row>
    <row r="14" spans="1:25" x14ac:dyDescent="0.3">
      <c r="A14" s="11">
        <v>11</v>
      </c>
      <c r="B14" s="12" t="s">
        <v>25</v>
      </c>
      <c r="C14" s="13">
        <v>1.4</v>
      </c>
      <c r="D14" s="14" t="s">
        <v>21</v>
      </c>
      <c r="E14" s="14" t="s">
        <v>11</v>
      </c>
      <c r="F14" s="14" t="s">
        <v>27</v>
      </c>
      <c r="G14" s="15">
        <v>352.77922058823521</v>
      </c>
      <c r="H14" s="17">
        <v>352.77922058823521</v>
      </c>
      <c r="I14" s="17">
        <v>462.47497058823524</v>
      </c>
      <c r="J14" s="17">
        <v>462.47497058823524</v>
      </c>
      <c r="K14" s="17">
        <v>431.67775147058819</v>
      </c>
      <c r="L14" s="17">
        <v>431.67775147058819</v>
      </c>
      <c r="M14" s="17">
        <v>643.82838970588239</v>
      </c>
      <c r="N14" s="17">
        <v>643.82838970588239</v>
      </c>
      <c r="O14" s="17">
        <v>433.87275</v>
      </c>
      <c r="P14" s="17">
        <v>433.87275</v>
      </c>
      <c r="Q14" s="17">
        <v>770.84879558823536</v>
      </c>
      <c r="R14" s="17">
        <v>770.84879558823536</v>
      </c>
      <c r="S14" s="17">
        <v>352.77922058823521</v>
      </c>
      <c r="T14" s="17">
        <v>352.77922058823521</v>
      </c>
      <c r="U14" s="17">
        <v>643.82838970588239</v>
      </c>
      <c r="V14" s="17">
        <v>643.82838970588239</v>
      </c>
      <c r="W14" s="17">
        <v>512.77128088235304</v>
      </c>
      <c r="X14" s="17">
        <v>512.77128088235304</v>
      </c>
      <c r="Y14" s="42">
        <v>464.60027205882352</v>
      </c>
    </row>
    <row r="15" spans="1:25" x14ac:dyDescent="0.3">
      <c r="A15" s="18">
        <v>12</v>
      </c>
      <c r="B15" s="19" t="s">
        <v>25</v>
      </c>
      <c r="C15" s="20">
        <v>1.4</v>
      </c>
      <c r="D15" s="21" t="s">
        <v>23</v>
      </c>
      <c r="E15" s="21" t="s">
        <v>11</v>
      </c>
      <c r="F15" s="21" t="s">
        <v>27</v>
      </c>
      <c r="G15" s="22">
        <v>352.77922058823521</v>
      </c>
      <c r="H15" s="24">
        <v>352.77922058823521</v>
      </c>
      <c r="I15" s="24">
        <v>462.47497058823524</v>
      </c>
      <c r="J15" s="24">
        <v>462.47497058823524</v>
      </c>
      <c r="K15" s="24">
        <v>431.67775147058819</v>
      </c>
      <c r="L15" s="24">
        <v>431.67775147058819</v>
      </c>
      <c r="M15" s="24">
        <v>643.82838970588239</v>
      </c>
      <c r="N15" s="24">
        <v>643.82838970588239</v>
      </c>
      <c r="O15" s="24">
        <v>433.87275</v>
      </c>
      <c r="P15" s="24">
        <v>433.87275</v>
      </c>
      <c r="Q15" s="24">
        <v>770.84879558823536</v>
      </c>
      <c r="R15" s="24">
        <v>770.84879558823536</v>
      </c>
      <c r="S15" s="24">
        <v>352.77922058823521</v>
      </c>
      <c r="T15" s="24">
        <v>352.77922058823521</v>
      </c>
      <c r="U15" s="24">
        <v>643.82838970588239</v>
      </c>
      <c r="V15" s="24">
        <v>643.82838970588239</v>
      </c>
      <c r="W15" s="24">
        <v>512.77128088235304</v>
      </c>
      <c r="X15" s="24">
        <v>512.77128088235304</v>
      </c>
      <c r="Y15" s="23">
        <v>464.60027205882352</v>
      </c>
    </row>
    <row r="16" spans="1:25" x14ac:dyDescent="0.3">
      <c r="A16" s="11">
        <v>13</v>
      </c>
      <c r="B16" s="12" t="s">
        <v>28</v>
      </c>
      <c r="C16" s="13">
        <v>1.4</v>
      </c>
      <c r="D16" s="14" t="s">
        <v>21</v>
      </c>
      <c r="E16" s="14" t="s">
        <v>11</v>
      </c>
      <c r="F16" s="14" t="s">
        <v>22</v>
      </c>
      <c r="G16" s="15">
        <v>318.48547058823522</v>
      </c>
      <c r="H16" s="17">
        <v>318.48547058823522</v>
      </c>
      <c r="I16" s="17">
        <v>375.79052205882351</v>
      </c>
      <c r="J16" s="17">
        <v>375.79052205882351</v>
      </c>
      <c r="K16" s="17">
        <v>397.38400147058826</v>
      </c>
      <c r="L16" s="17">
        <v>397.38400147058826</v>
      </c>
      <c r="M16" s="17">
        <v>458.26861764705882</v>
      </c>
      <c r="N16" s="17">
        <v>458.26861764705882</v>
      </c>
      <c r="O16" s="17">
        <v>399.57899999999995</v>
      </c>
      <c r="P16" s="17">
        <v>399.57899999999995</v>
      </c>
      <c r="Q16" s="17">
        <v>482.12405294117656</v>
      </c>
      <c r="R16" s="17">
        <v>482.12405294117656</v>
      </c>
      <c r="S16" s="17">
        <v>318.48547058823522</v>
      </c>
      <c r="T16" s="17">
        <v>318.48547058823522</v>
      </c>
      <c r="U16" s="17">
        <v>458.26861764705882</v>
      </c>
      <c r="V16" s="17">
        <v>458.26861764705882</v>
      </c>
      <c r="W16" s="17">
        <v>478.47753088235299</v>
      </c>
      <c r="X16" s="17">
        <v>478.47753088235299</v>
      </c>
      <c r="Y16" s="42">
        <v>318.48547058823522</v>
      </c>
    </row>
    <row r="17" spans="1:25" x14ac:dyDescent="0.3">
      <c r="A17" s="18">
        <v>14</v>
      </c>
      <c r="B17" s="19" t="s">
        <v>28</v>
      </c>
      <c r="C17" s="20">
        <v>1.4</v>
      </c>
      <c r="D17" s="21" t="s">
        <v>23</v>
      </c>
      <c r="E17" s="21" t="s">
        <v>11</v>
      </c>
      <c r="F17" s="21" t="s">
        <v>22</v>
      </c>
      <c r="G17" s="22">
        <v>318.48547058823522</v>
      </c>
      <c r="H17" s="24">
        <v>318.48547058823522</v>
      </c>
      <c r="I17" s="24">
        <v>375.79052205882351</v>
      </c>
      <c r="J17" s="24">
        <v>375.79052205882351</v>
      </c>
      <c r="K17" s="24">
        <v>397.38400147058826</v>
      </c>
      <c r="L17" s="24">
        <v>397.38400147058826</v>
      </c>
      <c r="M17" s="24">
        <v>458.26861764705882</v>
      </c>
      <c r="N17" s="24">
        <v>458.26861764705882</v>
      </c>
      <c r="O17" s="24">
        <v>398.69598529411763</v>
      </c>
      <c r="P17" s="24">
        <v>398.69598529411763</v>
      </c>
      <c r="Q17" s="24">
        <v>482.12405294117656</v>
      </c>
      <c r="R17" s="24">
        <v>482.12405294117656</v>
      </c>
      <c r="S17" s="24">
        <v>318.48547058823522</v>
      </c>
      <c r="T17" s="24">
        <v>318.48547058823522</v>
      </c>
      <c r="U17" s="24">
        <v>458.26861764705882</v>
      </c>
      <c r="V17" s="24">
        <v>458.26861764705882</v>
      </c>
      <c r="W17" s="24">
        <v>477.59451617647068</v>
      </c>
      <c r="X17" s="24">
        <v>477.59451617647068</v>
      </c>
      <c r="Y17" s="23">
        <v>318.48547058823522</v>
      </c>
    </row>
    <row r="18" spans="1:25" x14ac:dyDescent="0.3">
      <c r="A18" s="11">
        <v>15</v>
      </c>
      <c r="B18" s="12" t="s">
        <v>29</v>
      </c>
      <c r="C18" s="13">
        <v>1.6</v>
      </c>
      <c r="D18" s="14" t="s">
        <v>21</v>
      </c>
      <c r="E18" s="14" t="s">
        <v>11</v>
      </c>
      <c r="F18" s="14" t="s">
        <v>22</v>
      </c>
      <c r="G18" s="15">
        <v>319.95300882352944</v>
      </c>
      <c r="H18" s="17">
        <v>319.95300882352944</v>
      </c>
      <c r="I18" s="17">
        <v>445.66725882352944</v>
      </c>
      <c r="J18" s="17">
        <v>445.66725882352944</v>
      </c>
      <c r="K18" s="17">
        <v>398.85153970588237</v>
      </c>
      <c r="L18" s="17">
        <v>398.85153970588237</v>
      </c>
      <c r="M18" s="17">
        <v>523.12037647058833</v>
      </c>
      <c r="N18" s="17">
        <v>523.12037647058833</v>
      </c>
      <c r="O18" s="17">
        <v>401.04653823529412</v>
      </c>
      <c r="P18" s="17">
        <v>401.04653823529412</v>
      </c>
      <c r="Q18" s="17">
        <v>658.45457647058834</v>
      </c>
      <c r="R18" s="17">
        <v>658.45457647058834</v>
      </c>
      <c r="S18" s="17">
        <v>319.95300882352944</v>
      </c>
      <c r="T18" s="17">
        <v>319.95300882352944</v>
      </c>
      <c r="U18" s="17">
        <v>523.12037647058833</v>
      </c>
      <c r="V18" s="17">
        <v>523.12037647058833</v>
      </c>
      <c r="W18" s="17">
        <v>493.66256911764714</v>
      </c>
      <c r="X18" s="17">
        <v>493.66256911764714</v>
      </c>
      <c r="Y18" s="42">
        <v>319.95300882352944</v>
      </c>
    </row>
    <row r="19" spans="1:25" x14ac:dyDescent="0.3">
      <c r="A19" s="18">
        <v>16</v>
      </c>
      <c r="B19" s="19" t="s">
        <v>29</v>
      </c>
      <c r="C19" s="20">
        <v>1.6</v>
      </c>
      <c r="D19" s="21" t="s">
        <v>23</v>
      </c>
      <c r="E19" s="21" t="s">
        <v>11</v>
      </c>
      <c r="F19" s="21" t="s">
        <v>22</v>
      </c>
      <c r="G19" s="22">
        <v>319.95300882352944</v>
      </c>
      <c r="H19" s="24">
        <v>319.95300882352944</v>
      </c>
      <c r="I19" s="24">
        <v>445.66725882352944</v>
      </c>
      <c r="J19" s="24">
        <v>445.66725882352944</v>
      </c>
      <c r="K19" s="24">
        <v>398.85153970588237</v>
      </c>
      <c r="L19" s="24">
        <v>398.85153970588237</v>
      </c>
      <c r="M19" s="24">
        <v>523.12037647058833</v>
      </c>
      <c r="N19" s="24">
        <v>523.12037647058833</v>
      </c>
      <c r="O19" s="24">
        <v>400.16352352941169</v>
      </c>
      <c r="P19" s="24">
        <v>400.16352352941169</v>
      </c>
      <c r="Q19" s="24">
        <v>658.45457647058834</v>
      </c>
      <c r="R19" s="24">
        <v>658.45457647058834</v>
      </c>
      <c r="S19" s="24">
        <v>319.95300882352944</v>
      </c>
      <c r="T19" s="24">
        <v>319.95300882352944</v>
      </c>
      <c r="U19" s="24">
        <v>523.12037647058833</v>
      </c>
      <c r="V19" s="24">
        <v>523.12037647058833</v>
      </c>
      <c r="W19" s="24">
        <v>492.77955441176471</v>
      </c>
      <c r="X19" s="24">
        <v>492.77955441176471</v>
      </c>
      <c r="Y19" s="23">
        <v>319.95300882352944</v>
      </c>
    </row>
    <row r="20" spans="1:25" x14ac:dyDescent="0.3">
      <c r="A20" s="11">
        <v>17</v>
      </c>
      <c r="B20" s="12" t="s">
        <v>30</v>
      </c>
      <c r="C20" s="13">
        <v>1.4</v>
      </c>
      <c r="D20" s="14" t="s">
        <v>21</v>
      </c>
      <c r="E20" s="14" t="s">
        <v>11</v>
      </c>
      <c r="F20" s="14" t="s">
        <v>22</v>
      </c>
      <c r="G20" s="15">
        <v>318.48547058823522</v>
      </c>
      <c r="H20" s="17">
        <v>318.48547058823522</v>
      </c>
      <c r="I20" s="17">
        <v>406.4206323529412</v>
      </c>
      <c r="J20" s="17">
        <v>406.4206323529412</v>
      </c>
      <c r="K20" s="17">
        <v>397.38400147058826</v>
      </c>
      <c r="L20" s="17">
        <v>397.38400147058826</v>
      </c>
      <c r="M20" s="17">
        <v>488.89872794117639</v>
      </c>
      <c r="N20" s="17">
        <v>488.89872794117639</v>
      </c>
      <c r="O20" s="17">
        <v>396.92995588235294</v>
      </c>
      <c r="P20" s="17">
        <v>396.92995588235294</v>
      </c>
      <c r="Q20" s="17">
        <v>512.75416323529419</v>
      </c>
      <c r="R20" s="17">
        <v>512.75416323529419</v>
      </c>
      <c r="S20" s="17">
        <v>318.48547058823522</v>
      </c>
      <c r="T20" s="17">
        <v>318.48547058823522</v>
      </c>
      <c r="U20" s="17">
        <v>488.89872794117639</v>
      </c>
      <c r="V20" s="17">
        <v>488.89872794117639</v>
      </c>
      <c r="W20" s="17">
        <v>478.47753088235299</v>
      </c>
      <c r="X20" s="17">
        <v>478.47753088235299</v>
      </c>
      <c r="Y20" s="42">
        <v>318.48547058823522</v>
      </c>
    </row>
    <row r="21" spans="1:25" x14ac:dyDescent="0.3">
      <c r="A21" s="18">
        <v>18</v>
      </c>
      <c r="B21" s="19" t="s">
        <v>30</v>
      </c>
      <c r="C21" s="20">
        <v>1.4</v>
      </c>
      <c r="D21" s="21" t="s">
        <v>23</v>
      </c>
      <c r="E21" s="21" t="s">
        <v>11</v>
      </c>
      <c r="F21" s="21" t="s">
        <v>22</v>
      </c>
      <c r="G21" s="22">
        <v>318.48547058823522</v>
      </c>
      <c r="H21" s="24">
        <v>318.48547058823522</v>
      </c>
      <c r="I21" s="24">
        <v>406.4206323529412</v>
      </c>
      <c r="J21" s="24">
        <v>406.4206323529412</v>
      </c>
      <c r="K21" s="24">
        <v>397.38400147058826</v>
      </c>
      <c r="L21" s="24">
        <v>397.38400147058826</v>
      </c>
      <c r="M21" s="24">
        <v>488.89872794117639</v>
      </c>
      <c r="N21" s="24">
        <v>488.89872794117639</v>
      </c>
      <c r="O21" s="24">
        <v>398.69598529411763</v>
      </c>
      <c r="P21" s="24">
        <v>398.69598529411763</v>
      </c>
      <c r="Q21" s="24">
        <v>512.75416323529419</v>
      </c>
      <c r="R21" s="24">
        <v>512.75416323529419</v>
      </c>
      <c r="S21" s="24">
        <v>318.48547058823522</v>
      </c>
      <c r="T21" s="24">
        <v>318.48547058823522</v>
      </c>
      <c r="U21" s="24">
        <v>488.89872794117639</v>
      </c>
      <c r="V21" s="24">
        <v>488.89872794117639</v>
      </c>
      <c r="W21" s="24">
        <v>477.59451617647068</v>
      </c>
      <c r="X21" s="24">
        <v>477.59451617647068</v>
      </c>
      <c r="Y21" s="23">
        <v>318.48547058823522</v>
      </c>
    </row>
    <row r="22" spans="1:25" x14ac:dyDescent="0.3">
      <c r="A22" s="11">
        <v>19</v>
      </c>
      <c r="B22" s="12" t="s">
        <v>30</v>
      </c>
      <c r="C22" s="13">
        <v>1.4</v>
      </c>
      <c r="D22" s="14" t="s">
        <v>21</v>
      </c>
      <c r="E22" s="14" t="s">
        <v>11</v>
      </c>
      <c r="F22" s="14" t="s">
        <v>26</v>
      </c>
      <c r="G22" s="15">
        <v>358.78811029411759</v>
      </c>
      <c r="H22" s="17">
        <v>358.78811029411759</v>
      </c>
      <c r="I22" s="17">
        <v>490.45788970588239</v>
      </c>
      <c r="J22" s="17">
        <v>490.45788970588239</v>
      </c>
      <c r="K22" s="17">
        <v>437.68664117647063</v>
      </c>
      <c r="L22" s="17">
        <v>437.68664117647063</v>
      </c>
      <c r="M22" s="17">
        <v>572.9359852941177</v>
      </c>
      <c r="N22" s="17">
        <v>572.9359852941177</v>
      </c>
      <c r="O22" s="17">
        <v>437.23259558823537</v>
      </c>
      <c r="P22" s="17">
        <v>437.23259558823537</v>
      </c>
      <c r="Q22" s="17">
        <v>699.20674411764708</v>
      </c>
      <c r="R22" s="17">
        <v>699.20674411764708</v>
      </c>
      <c r="S22" s="17">
        <v>358.78811029411759</v>
      </c>
      <c r="T22" s="17">
        <v>358.78811029411759</v>
      </c>
      <c r="U22" s="17">
        <v>572.9359852941177</v>
      </c>
      <c r="V22" s="17">
        <v>572.9359852941177</v>
      </c>
      <c r="W22" s="17">
        <v>518.78017058823525</v>
      </c>
      <c r="X22" s="17">
        <v>518.78017058823525</v>
      </c>
      <c r="Y22" s="42">
        <v>470.60916176470585</v>
      </c>
    </row>
    <row r="23" spans="1:25" x14ac:dyDescent="0.3">
      <c r="A23" s="18">
        <v>20</v>
      </c>
      <c r="B23" s="19" t="s">
        <v>30</v>
      </c>
      <c r="C23" s="20">
        <v>1.4</v>
      </c>
      <c r="D23" s="21" t="s">
        <v>23</v>
      </c>
      <c r="E23" s="21" t="s">
        <v>11</v>
      </c>
      <c r="F23" s="21" t="s">
        <v>26</v>
      </c>
      <c r="G23" s="22">
        <v>358.78811029411759</v>
      </c>
      <c r="H23" s="24">
        <v>358.78811029411759</v>
      </c>
      <c r="I23" s="24">
        <v>490.45788970588239</v>
      </c>
      <c r="J23" s="24">
        <v>490.45788970588239</v>
      </c>
      <c r="K23" s="24">
        <v>437.68664117647063</v>
      </c>
      <c r="L23" s="24">
        <v>437.68664117647063</v>
      </c>
      <c r="M23" s="24">
        <v>572.9359852941177</v>
      </c>
      <c r="N23" s="24">
        <v>572.9359852941177</v>
      </c>
      <c r="O23" s="24">
        <v>437.23259558823537</v>
      </c>
      <c r="P23" s="24">
        <v>437.23259558823537</v>
      </c>
      <c r="Q23" s="24">
        <v>699.20674411764708</v>
      </c>
      <c r="R23" s="24">
        <v>699.20674411764708</v>
      </c>
      <c r="S23" s="24">
        <v>358.78811029411759</v>
      </c>
      <c r="T23" s="24">
        <v>358.78811029411759</v>
      </c>
      <c r="U23" s="24">
        <v>572.9359852941177</v>
      </c>
      <c r="V23" s="24">
        <v>572.9359852941177</v>
      </c>
      <c r="W23" s="24">
        <v>518.78017058823525</v>
      </c>
      <c r="X23" s="24">
        <v>518.78017058823525</v>
      </c>
      <c r="Y23" s="23">
        <v>470.60916176470585</v>
      </c>
    </row>
    <row r="24" spans="1:25" x14ac:dyDescent="0.3">
      <c r="A24" s="11">
        <v>21</v>
      </c>
      <c r="B24" s="12" t="s">
        <v>30</v>
      </c>
      <c r="C24" s="13">
        <v>1.4</v>
      </c>
      <c r="D24" s="14" t="s">
        <v>21</v>
      </c>
      <c r="E24" s="14" t="s">
        <v>11</v>
      </c>
      <c r="F24" s="14" t="s">
        <v>27</v>
      </c>
      <c r="G24" s="15">
        <v>318.48547058823522</v>
      </c>
      <c r="H24" s="17">
        <v>318.48547058823522</v>
      </c>
      <c r="I24" s="17">
        <v>484.44900000000001</v>
      </c>
      <c r="J24" s="17">
        <v>484.44900000000001</v>
      </c>
      <c r="K24" s="17">
        <v>397.38400147058826</v>
      </c>
      <c r="L24" s="17">
        <v>397.38400147058826</v>
      </c>
      <c r="M24" s="17">
        <v>566.92709558823526</v>
      </c>
      <c r="N24" s="17">
        <v>566.92709558823526</v>
      </c>
      <c r="O24" s="17">
        <v>396.92995588235294</v>
      </c>
      <c r="P24" s="17">
        <v>396.92995588235294</v>
      </c>
      <c r="Q24" s="17">
        <v>690.33982500000002</v>
      </c>
      <c r="R24" s="17">
        <v>690.33982500000002</v>
      </c>
      <c r="S24" s="17">
        <v>318.48547058823522</v>
      </c>
      <c r="T24" s="17">
        <v>318.48547058823522</v>
      </c>
      <c r="U24" s="17">
        <v>566.92709558823526</v>
      </c>
      <c r="V24" s="17">
        <v>566.92709558823526</v>
      </c>
      <c r="W24" s="17">
        <v>478.47753088235299</v>
      </c>
      <c r="X24" s="17">
        <v>478.47753088235299</v>
      </c>
      <c r="Y24" s="42">
        <v>430.30652205882359</v>
      </c>
    </row>
    <row r="25" spans="1:25" x14ac:dyDescent="0.3">
      <c r="A25" s="18">
        <v>22</v>
      </c>
      <c r="B25" s="19" t="s">
        <v>30</v>
      </c>
      <c r="C25" s="20">
        <v>1.4</v>
      </c>
      <c r="D25" s="21" t="s">
        <v>23</v>
      </c>
      <c r="E25" s="21" t="s">
        <v>11</v>
      </c>
      <c r="F25" s="21" t="s">
        <v>27</v>
      </c>
      <c r="G25" s="22">
        <v>318.48547058823522</v>
      </c>
      <c r="H25" s="24">
        <v>318.48547058823522</v>
      </c>
      <c r="I25" s="24">
        <v>484.44900000000001</v>
      </c>
      <c r="J25" s="24">
        <v>484.44900000000001</v>
      </c>
      <c r="K25" s="24">
        <v>397.38400147058826</v>
      </c>
      <c r="L25" s="24">
        <v>397.38400147058826</v>
      </c>
      <c r="M25" s="24">
        <v>566.92709558823526</v>
      </c>
      <c r="N25" s="24">
        <v>566.92709558823526</v>
      </c>
      <c r="O25" s="24">
        <v>396.92995588235294</v>
      </c>
      <c r="P25" s="24">
        <v>396.92995588235294</v>
      </c>
      <c r="Q25" s="24">
        <v>690.33982500000002</v>
      </c>
      <c r="R25" s="24">
        <v>690.33982500000002</v>
      </c>
      <c r="S25" s="24">
        <v>318.48547058823522</v>
      </c>
      <c r="T25" s="24">
        <v>318.48547058823522</v>
      </c>
      <c r="U25" s="24">
        <v>566.92709558823526</v>
      </c>
      <c r="V25" s="24">
        <v>566.92709558823526</v>
      </c>
      <c r="W25" s="24">
        <v>478.47753088235299</v>
      </c>
      <c r="X25" s="24">
        <v>478.47753088235299</v>
      </c>
      <c r="Y25" s="23">
        <v>430.30652205882359</v>
      </c>
    </row>
    <row r="26" spans="1:25" x14ac:dyDescent="0.3">
      <c r="A26" s="11">
        <v>23</v>
      </c>
      <c r="B26" s="12" t="s">
        <v>30</v>
      </c>
      <c r="C26" s="13">
        <v>1.6</v>
      </c>
      <c r="D26" s="14" t="s">
        <v>21</v>
      </c>
      <c r="E26" s="14" t="s">
        <v>11</v>
      </c>
      <c r="F26" s="14" t="s">
        <v>22</v>
      </c>
      <c r="G26" s="15">
        <v>319.95300882352944</v>
      </c>
      <c r="H26" s="17">
        <v>319.95300882352944</v>
      </c>
      <c r="I26" s="17">
        <v>407.88817058823531</v>
      </c>
      <c r="J26" s="17">
        <v>407.88817058823531</v>
      </c>
      <c r="K26" s="17">
        <v>398.85153970588237</v>
      </c>
      <c r="L26" s="17">
        <v>398.85153970588237</v>
      </c>
      <c r="M26" s="17">
        <v>490.36626617647062</v>
      </c>
      <c r="N26" s="17">
        <v>490.36626617647062</v>
      </c>
      <c r="O26" s="17">
        <v>401.04653823529412</v>
      </c>
      <c r="P26" s="17">
        <v>401.04653823529412</v>
      </c>
      <c r="Q26" s="17">
        <v>582.17408382352949</v>
      </c>
      <c r="R26" s="17">
        <v>582.17408382352949</v>
      </c>
      <c r="S26" s="17">
        <v>319.95300882352944</v>
      </c>
      <c r="T26" s="17">
        <v>319.95300882352944</v>
      </c>
      <c r="U26" s="17">
        <v>490.36626617647062</v>
      </c>
      <c r="V26" s="17">
        <v>490.36626617647062</v>
      </c>
      <c r="W26" s="17">
        <v>479.94506911764717</v>
      </c>
      <c r="X26" s="17">
        <v>479.94506911764717</v>
      </c>
      <c r="Y26" s="42">
        <v>319.95300882352944</v>
      </c>
    </row>
    <row r="27" spans="1:25" x14ac:dyDescent="0.3">
      <c r="A27" s="18">
        <v>24</v>
      </c>
      <c r="B27" s="19" t="s">
        <v>30</v>
      </c>
      <c r="C27" s="20">
        <v>1.6</v>
      </c>
      <c r="D27" s="21" t="s">
        <v>23</v>
      </c>
      <c r="E27" s="21" t="s">
        <v>11</v>
      </c>
      <c r="F27" s="21" t="s">
        <v>22</v>
      </c>
      <c r="G27" s="22">
        <v>318.93812205882358</v>
      </c>
      <c r="H27" s="24">
        <v>319.95300882352944</v>
      </c>
      <c r="I27" s="24">
        <v>407.88817058823531</v>
      </c>
      <c r="J27" s="24">
        <v>407.88817058823531</v>
      </c>
      <c r="K27" s="24">
        <v>398.85153970588237</v>
      </c>
      <c r="L27" s="24">
        <v>398.85153970588237</v>
      </c>
      <c r="M27" s="24">
        <v>490.36626617647062</v>
      </c>
      <c r="N27" s="24">
        <v>490.36626617647062</v>
      </c>
      <c r="O27" s="24">
        <v>402.81256764705876</v>
      </c>
      <c r="P27" s="24">
        <v>402.81256764705876</v>
      </c>
      <c r="Q27" s="24">
        <v>582.17408382352949</v>
      </c>
      <c r="R27" s="24">
        <v>582.17408382352949</v>
      </c>
      <c r="S27" s="24">
        <v>319.95300882352944</v>
      </c>
      <c r="T27" s="24">
        <v>319.95300882352944</v>
      </c>
      <c r="U27" s="24">
        <v>490.36626617647062</v>
      </c>
      <c r="V27" s="24">
        <v>490.36626617647062</v>
      </c>
      <c r="W27" s="24">
        <v>481.7110985294118</v>
      </c>
      <c r="X27" s="24">
        <v>480.69621176470599</v>
      </c>
      <c r="Y27" s="23">
        <v>318.93812205882358</v>
      </c>
    </row>
    <row r="28" spans="1:25" x14ac:dyDescent="0.3">
      <c r="A28" s="11">
        <v>25</v>
      </c>
      <c r="B28" s="12" t="s">
        <v>30</v>
      </c>
      <c r="C28" s="13">
        <v>1.6</v>
      </c>
      <c r="D28" s="14" t="s">
        <v>21</v>
      </c>
      <c r="E28" s="14" t="s">
        <v>11</v>
      </c>
      <c r="F28" s="14" t="s">
        <v>26</v>
      </c>
      <c r="G28" s="15">
        <v>360.25564852941181</v>
      </c>
      <c r="H28" s="17">
        <v>360.25564852941181</v>
      </c>
      <c r="I28" s="17">
        <v>491.92542794117651</v>
      </c>
      <c r="J28" s="17">
        <v>491.92542794117651</v>
      </c>
      <c r="K28" s="17">
        <v>439.15417941176474</v>
      </c>
      <c r="L28" s="17">
        <v>439.15417941176474</v>
      </c>
      <c r="M28" s="17">
        <v>574.40352352941181</v>
      </c>
      <c r="N28" s="17">
        <v>574.40352352941181</v>
      </c>
      <c r="O28" s="17">
        <v>441.34917794117649</v>
      </c>
      <c r="P28" s="17">
        <v>441.34917794117649</v>
      </c>
      <c r="Q28" s="17">
        <v>768.62666470588238</v>
      </c>
      <c r="R28" s="17">
        <v>768.62666470588238</v>
      </c>
      <c r="S28" s="17">
        <v>360.25564852941181</v>
      </c>
      <c r="T28" s="17">
        <v>360.25564852941181</v>
      </c>
      <c r="U28" s="17">
        <v>574.40352352941181</v>
      </c>
      <c r="V28" s="17">
        <v>574.40352352941181</v>
      </c>
      <c r="W28" s="17">
        <v>520.24770882352936</v>
      </c>
      <c r="X28" s="17">
        <v>520.24770882352936</v>
      </c>
      <c r="Y28" s="42">
        <v>472.07670000000002</v>
      </c>
    </row>
    <row r="29" spans="1:25" x14ac:dyDescent="0.3">
      <c r="A29" s="18">
        <v>26</v>
      </c>
      <c r="B29" s="19" t="s">
        <v>30</v>
      </c>
      <c r="C29" s="20">
        <v>1.6</v>
      </c>
      <c r="D29" s="21" t="s">
        <v>23</v>
      </c>
      <c r="E29" s="21" t="s">
        <v>11</v>
      </c>
      <c r="F29" s="21" t="s">
        <v>26</v>
      </c>
      <c r="G29" s="22">
        <v>360.25564852941181</v>
      </c>
      <c r="H29" s="24">
        <v>360.25564852941181</v>
      </c>
      <c r="I29" s="24">
        <v>491.92542794117651</v>
      </c>
      <c r="J29" s="24">
        <v>491.92542794117651</v>
      </c>
      <c r="K29" s="24">
        <v>439.15417941176474</v>
      </c>
      <c r="L29" s="24">
        <v>439.15417941176474</v>
      </c>
      <c r="M29" s="24">
        <v>574.40352352941181</v>
      </c>
      <c r="N29" s="24">
        <v>574.40352352941181</v>
      </c>
      <c r="O29" s="24">
        <v>441.34917794117649</v>
      </c>
      <c r="P29" s="24">
        <v>441.34917794117649</v>
      </c>
      <c r="Q29" s="24">
        <v>768.62666470588238</v>
      </c>
      <c r="R29" s="24">
        <v>768.62666470588238</v>
      </c>
      <c r="S29" s="24">
        <v>360.25564852941181</v>
      </c>
      <c r="T29" s="24">
        <v>360.25564852941181</v>
      </c>
      <c r="U29" s="24">
        <v>574.40352352941181</v>
      </c>
      <c r="V29" s="24">
        <v>574.40352352941181</v>
      </c>
      <c r="W29" s="24">
        <v>520.24770882352936</v>
      </c>
      <c r="X29" s="24">
        <v>520.24770882352936</v>
      </c>
      <c r="Y29" s="23">
        <v>472.07670000000002</v>
      </c>
    </row>
    <row r="30" spans="1:25" x14ac:dyDescent="0.3">
      <c r="A30" s="11">
        <v>27</v>
      </c>
      <c r="B30" s="12" t="s">
        <v>31</v>
      </c>
      <c r="C30" s="13">
        <v>1.5</v>
      </c>
      <c r="D30" s="14" t="s">
        <v>21</v>
      </c>
      <c r="E30" s="14" t="s">
        <v>11</v>
      </c>
      <c r="F30" s="14" t="s">
        <v>22</v>
      </c>
      <c r="G30" s="15">
        <v>337.03767352941179</v>
      </c>
      <c r="H30" s="17">
        <v>337.03767352941179</v>
      </c>
      <c r="I30" s="17">
        <v>398.57120294117647</v>
      </c>
      <c r="J30" s="17">
        <v>398.57120294117647</v>
      </c>
      <c r="K30" s="17">
        <v>395.35995441176465</v>
      </c>
      <c r="L30" s="17">
        <v>395.35995441176465</v>
      </c>
      <c r="M30" s="17">
        <v>453.61429852941171</v>
      </c>
      <c r="N30" s="17">
        <v>453.61429852941171</v>
      </c>
      <c r="O30" s="17">
        <v>418.13120294117647</v>
      </c>
      <c r="P30" s="17">
        <v>418.13120294117647</v>
      </c>
      <c r="Q30" s="17">
        <v>484.3284838235295</v>
      </c>
      <c r="R30" s="17">
        <v>484.3284838235295</v>
      </c>
      <c r="S30" s="17">
        <v>337.03767352941179</v>
      </c>
      <c r="T30" s="17">
        <v>337.03767352941179</v>
      </c>
      <c r="U30" s="17">
        <v>453.61429852941171</v>
      </c>
      <c r="V30" s="17">
        <v>453.61429852941171</v>
      </c>
      <c r="W30" s="17">
        <v>476.4534838235295</v>
      </c>
      <c r="X30" s="17">
        <v>476.4534838235295</v>
      </c>
      <c r="Y30" s="42">
        <v>337.03767352941179</v>
      </c>
    </row>
    <row r="31" spans="1:25" x14ac:dyDescent="0.3">
      <c r="A31" s="18">
        <v>28</v>
      </c>
      <c r="B31" s="19" t="s">
        <v>31</v>
      </c>
      <c r="C31" s="20">
        <v>1.5</v>
      </c>
      <c r="D31" s="21" t="s">
        <v>32</v>
      </c>
      <c r="E31" s="21" t="s">
        <v>11</v>
      </c>
      <c r="F31" s="21" t="s">
        <v>22</v>
      </c>
      <c r="G31" s="22">
        <v>337.03767352941179</v>
      </c>
      <c r="H31" s="24">
        <v>337.03767352941179</v>
      </c>
      <c r="I31" s="24">
        <v>398.57120294117647</v>
      </c>
      <c r="J31" s="24">
        <v>398.57120294117647</v>
      </c>
      <c r="K31" s="24">
        <v>395.35995441176465</v>
      </c>
      <c r="L31" s="24">
        <v>395.35995441176465</v>
      </c>
      <c r="M31" s="24">
        <v>453.61429852941171</v>
      </c>
      <c r="N31" s="24">
        <v>453.61429852941171</v>
      </c>
      <c r="O31" s="24">
        <v>418.13120294117647</v>
      </c>
      <c r="P31" s="24">
        <v>418.13120294117647</v>
      </c>
      <c r="Q31" s="24">
        <v>484.3284838235295</v>
      </c>
      <c r="R31" s="24">
        <v>484.3284838235295</v>
      </c>
      <c r="S31" s="24">
        <v>337.03767352941179</v>
      </c>
      <c r="T31" s="24">
        <v>337.03767352941179</v>
      </c>
      <c r="U31" s="24">
        <v>453.61429852941171</v>
      </c>
      <c r="V31" s="24">
        <v>453.61429852941171</v>
      </c>
      <c r="W31" s="24">
        <v>476.4534838235295</v>
      </c>
      <c r="X31" s="24">
        <v>476.4534838235295</v>
      </c>
      <c r="Y31" s="23">
        <v>337.03767352941179</v>
      </c>
    </row>
    <row r="32" spans="1:25" x14ac:dyDescent="0.3">
      <c r="A32" s="11">
        <v>29</v>
      </c>
      <c r="B32" s="12" t="s">
        <v>33</v>
      </c>
      <c r="C32" s="13">
        <v>1.5</v>
      </c>
      <c r="D32" s="14" t="s">
        <v>21</v>
      </c>
      <c r="E32" s="14" t="s">
        <v>11</v>
      </c>
      <c r="F32" s="14" t="s">
        <v>22</v>
      </c>
      <c r="G32" s="15">
        <v>337.03767352941179</v>
      </c>
      <c r="H32" s="17">
        <v>337.03767352941179</v>
      </c>
      <c r="I32" s="17">
        <v>410.20244558823526</v>
      </c>
      <c r="J32" s="17">
        <v>410.20244558823526</v>
      </c>
      <c r="K32" s="17">
        <v>395.35995441176465</v>
      </c>
      <c r="L32" s="17">
        <v>395.35995441176465</v>
      </c>
      <c r="M32" s="17">
        <v>473.72592352941172</v>
      </c>
      <c r="N32" s="17">
        <v>473.72592352941172</v>
      </c>
      <c r="O32" s="17">
        <v>418.13120294117647</v>
      </c>
      <c r="P32" s="17">
        <v>418.13120294117647</v>
      </c>
      <c r="Q32" s="17">
        <v>586.78805735294122</v>
      </c>
      <c r="R32" s="17">
        <v>586.78805735294122</v>
      </c>
      <c r="S32" s="17">
        <v>337.03767352941179</v>
      </c>
      <c r="T32" s="17">
        <v>337.03767352941179</v>
      </c>
      <c r="U32" s="17">
        <v>473.72592352941172</v>
      </c>
      <c r="V32" s="17">
        <v>473.72592352941172</v>
      </c>
      <c r="W32" s="17">
        <v>476.4534838235295</v>
      </c>
      <c r="X32" s="17">
        <v>476.4534838235295</v>
      </c>
      <c r="Y32" s="42">
        <v>337.03767352941179</v>
      </c>
    </row>
    <row r="33" spans="1:25" x14ac:dyDescent="0.3">
      <c r="A33" s="18">
        <v>30</v>
      </c>
      <c r="B33" s="19" t="s">
        <v>33</v>
      </c>
      <c r="C33" s="20">
        <v>1.5</v>
      </c>
      <c r="D33" s="21" t="s">
        <v>32</v>
      </c>
      <c r="E33" s="21" t="s">
        <v>11</v>
      </c>
      <c r="F33" s="21" t="s">
        <v>22</v>
      </c>
      <c r="G33" s="22">
        <v>337.03767352941179</v>
      </c>
      <c r="H33" s="24">
        <v>337.03767352941179</v>
      </c>
      <c r="I33" s="24">
        <v>410.20244558823526</v>
      </c>
      <c r="J33" s="24">
        <v>410.20244558823526</v>
      </c>
      <c r="K33" s="24">
        <v>395.35995441176465</v>
      </c>
      <c r="L33" s="24">
        <v>395.35995441176465</v>
      </c>
      <c r="M33" s="24">
        <v>473.72592352941172</v>
      </c>
      <c r="N33" s="24">
        <v>473.72592352941172</v>
      </c>
      <c r="O33" s="24">
        <v>418.13120294117647</v>
      </c>
      <c r="P33" s="24">
        <v>418.13120294117647</v>
      </c>
      <c r="Q33" s="24">
        <v>586.78805735294122</v>
      </c>
      <c r="R33" s="24">
        <v>586.78805735294122</v>
      </c>
      <c r="S33" s="24">
        <v>337.03767352941179</v>
      </c>
      <c r="T33" s="24">
        <v>337.03767352941179</v>
      </c>
      <c r="U33" s="24">
        <v>473.72592352941172</v>
      </c>
      <c r="V33" s="24">
        <v>473.72592352941172</v>
      </c>
      <c r="W33" s="24">
        <v>476.4534838235295</v>
      </c>
      <c r="X33" s="24">
        <v>476.4534838235295</v>
      </c>
      <c r="Y33" s="23">
        <v>337.03767352941179</v>
      </c>
    </row>
    <row r="34" spans="1:25" x14ac:dyDescent="0.3">
      <c r="A34" s="11">
        <v>31</v>
      </c>
      <c r="B34" s="12" t="s">
        <v>33</v>
      </c>
      <c r="C34" s="13">
        <v>1.5</v>
      </c>
      <c r="D34" s="14" t="s">
        <v>21</v>
      </c>
      <c r="E34" s="14" t="s">
        <v>11</v>
      </c>
      <c r="F34" s="14" t="s">
        <v>26</v>
      </c>
      <c r="G34" s="15">
        <v>377.34031323529416</v>
      </c>
      <c r="H34" s="17">
        <v>377.34031323529416</v>
      </c>
      <c r="I34" s="17">
        <v>494.23970294117652</v>
      </c>
      <c r="J34" s="17">
        <v>494.23970294117652</v>
      </c>
      <c r="K34" s="17">
        <v>435.66259411764702</v>
      </c>
      <c r="L34" s="17">
        <v>435.66259411764702</v>
      </c>
      <c r="M34" s="17">
        <v>557.76318088235303</v>
      </c>
      <c r="N34" s="17">
        <v>557.76318088235303</v>
      </c>
      <c r="O34" s="17">
        <v>458.43384264705884</v>
      </c>
      <c r="P34" s="17">
        <v>458.43384264705884</v>
      </c>
      <c r="Q34" s="17">
        <v>773.24063823529434</v>
      </c>
      <c r="R34" s="17">
        <v>773.24063823529434</v>
      </c>
      <c r="S34" s="17">
        <v>377.34031323529416</v>
      </c>
      <c r="T34" s="17">
        <v>377.34031323529416</v>
      </c>
      <c r="U34" s="17">
        <v>557.76318088235303</v>
      </c>
      <c r="V34" s="17">
        <v>557.76318088235303</v>
      </c>
      <c r="W34" s="17">
        <v>516.75612352941187</v>
      </c>
      <c r="X34" s="17">
        <v>516.75612352941187</v>
      </c>
      <c r="Y34" s="42">
        <v>489.16136470588236</v>
      </c>
    </row>
    <row r="35" spans="1:25" x14ac:dyDescent="0.3">
      <c r="A35" s="18">
        <v>32</v>
      </c>
      <c r="B35" s="19" t="s">
        <v>33</v>
      </c>
      <c r="C35" s="20">
        <v>1.5</v>
      </c>
      <c r="D35" s="21" t="s">
        <v>32</v>
      </c>
      <c r="E35" s="21" t="s">
        <v>11</v>
      </c>
      <c r="F35" s="21" t="s">
        <v>26</v>
      </c>
      <c r="G35" s="22">
        <v>377.34031323529416</v>
      </c>
      <c r="H35" s="24">
        <v>377.34031323529416</v>
      </c>
      <c r="I35" s="24">
        <v>494.23970294117652</v>
      </c>
      <c r="J35" s="24">
        <v>494.23970294117652</v>
      </c>
      <c r="K35" s="24">
        <v>435.66259411764702</v>
      </c>
      <c r="L35" s="24">
        <v>435.66259411764702</v>
      </c>
      <c r="M35" s="24">
        <v>557.76318088235303</v>
      </c>
      <c r="N35" s="24">
        <v>557.76318088235303</v>
      </c>
      <c r="O35" s="24">
        <v>458.43384264705884</v>
      </c>
      <c r="P35" s="24">
        <v>458.43384264705884</v>
      </c>
      <c r="Q35" s="24">
        <v>773.24063823529434</v>
      </c>
      <c r="R35" s="24">
        <v>773.24063823529434</v>
      </c>
      <c r="S35" s="24">
        <v>377.34031323529416</v>
      </c>
      <c r="T35" s="24">
        <v>377.34031323529416</v>
      </c>
      <c r="U35" s="24">
        <v>557.76318088235303</v>
      </c>
      <c r="V35" s="24">
        <v>557.76318088235303</v>
      </c>
      <c r="W35" s="24">
        <v>516.75612352941187</v>
      </c>
      <c r="X35" s="24">
        <v>516.75612352941187</v>
      </c>
      <c r="Y35" s="23">
        <v>455.36868088235286</v>
      </c>
    </row>
    <row r="36" spans="1:25" x14ac:dyDescent="0.3">
      <c r="A36" s="11">
        <v>33</v>
      </c>
      <c r="B36" s="12" t="s">
        <v>34</v>
      </c>
      <c r="C36" s="13">
        <v>2.2000000000000002</v>
      </c>
      <c r="D36" s="14" t="s">
        <v>21</v>
      </c>
      <c r="E36" s="14" t="s">
        <v>11</v>
      </c>
      <c r="F36" s="14" t="s">
        <v>35</v>
      </c>
      <c r="G36" s="15">
        <v>506.89728529411764</v>
      </c>
      <c r="H36" s="17">
        <v>506.89728529411764</v>
      </c>
      <c r="I36" s="17">
        <v>582.68582205882353</v>
      </c>
      <c r="J36" s="17">
        <v>582.68582205882353</v>
      </c>
      <c r="K36" s="17">
        <v>585.79581617647068</v>
      </c>
      <c r="L36" s="17">
        <v>585.79581617647068</v>
      </c>
      <c r="M36" s="17">
        <v>700.70187352941173</v>
      </c>
      <c r="N36" s="17">
        <v>700.70187352941173</v>
      </c>
      <c r="O36" s="17">
        <v>616.24728529411777</v>
      </c>
      <c r="P36" s="17">
        <v>616.24728529411777</v>
      </c>
      <c r="Q36" s="17">
        <v>716.45435294117647</v>
      </c>
      <c r="R36" s="17">
        <v>716.45435294117647</v>
      </c>
      <c r="S36" s="17">
        <v>506.89728529411764</v>
      </c>
      <c r="T36" s="17">
        <v>506.89728529411764</v>
      </c>
      <c r="U36" s="17">
        <v>714.41937352941181</v>
      </c>
      <c r="V36" s="17">
        <v>714.41937352941181</v>
      </c>
      <c r="W36" s="17">
        <v>695.1458161764707</v>
      </c>
      <c r="X36" s="17">
        <v>695.1458161764707</v>
      </c>
      <c r="Y36" s="42">
        <v>506.89728529411764</v>
      </c>
    </row>
    <row r="37" spans="1:25" x14ac:dyDescent="0.3">
      <c r="A37" s="18">
        <v>34</v>
      </c>
      <c r="B37" s="19" t="s">
        <v>34</v>
      </c>
      <c r="C37" s="20">
        <v>2.2000000000000002</v>
      </c>
      <c r="D37" s="21" t="s">
        <v>23</v>
      </c>
      <c r="E37" s="21" t="s">
        <v>11</v>
      </c>
      <c r="F37" s="21" t="s">
        <v>35</v>
      </c>
      <c r="G37" s="22">
        <v>506.89728529411764</v>
      </c>
      <c r="H37" s="24">
        <v>506.89728529411764</v>
      </c>
      <c r="I37" s="24">
        <v>582.68582205882353</v>
      </c>
      <c r="J37" s="24">
        <v>582.68582205882353</v>
      </c>
      <c r="K37" s="24">
        <v>585.79581617647068</v>
      </c>
      <c r="L37" s="24">
        <v>585.79581617647068</v>
      </c>
      <c r="M37" s="24">
        <v>700.70187352941173</v>
      </c>
      <c r="N37" s="24">
        <v>700.70187352941173</v>
      </c>
      <c r="O37" s="24">
        <v>616.24728529411777</v>
      </c>
      <c r="P37" s="24">
        <v>616.24728529411777</v>
      </c>
      <c r="Q37" s="24">
        <v>716.45435294117647</v>
      </c>
      <c r="R37" s="24">
        <v>716.45435294117647</v>
      </c>
      <c r="S37" s="24">
        <v>506.89728529411764</v>
      </c>
      <c r="T37" s="24">
        <v>506.89728529411764</v>
      </c>
      <c r="U37" s="24">
        <v>714.41937352941181</v>
      </c>
      <c r="V37" s="24">
        <v>714.41937352941181</v>
      </c>
      <c r="W37" s="24">
        <v>695.1458161764707</v>
      </c>
      <c r="X37" s="24">
        <v>695.1458161764707</v>
      </c>
      <c r="Y37" s="23">
        <v>506.89728529411764</v>
      </c>
    </row>
    <row r="38" spans="1:25" x14ac:dyDescent="0.3">
      <c r="A38" s="11">
        <v>35</v>
      </c>
      <c r="B38" s="12" t="s">
        <v>36</v>
      </c>
      <c r="C38" s="13">
        <v>2.5</v>
      </c>
      <c r="D38" s="14" t="s">
        <v>21</v>
      </c>
      <c r="E38" s="14" t="s">
        <v>11</v>
      </c>
      <c r="F38" s="14" t="s">
        <v>35</v>
      </c>
      <c r="G38" s="15">
        <v>505.7217970588236</v>
      </c>
      <c r="H38" s="17">
        <v>505.7217970588236</v>
      </c>
      <c r="I38" s="17">
        <v>616.71589411764717</v>
      </c>
      <c r="J38" s="17">
        <v>616.71589411764717</v>
      </c>
      <c r="K38" s="17">
        <v>519.43929705882351</v>
      </c>
      <c r="L38" s="17">
        <v>519.43929705882351</v>
      </c>
      <c r="M38" s="17">
        <v>904.06788970588229</v>
      </c>
      <c r="N38" s="17">
        <v>904.06788970588229</v>
      </c>
      <c r="O38" s="17">
        <v>505.7217970588236</v>
      </c>
      <c r="P38" s="17">
        <v>505.7217970588236</v>
      </c>
      <c r="Q38" s="17">
        <v>723.2620852941177</v>
      </c>
      <c r="R38" s="17">
        <v>723.2620852941177</v>
      </c>
      <c r="S38" s="17">
        <v>505.7217970588236</v>
      </c>
      <c r="T38" s="17">
        <v>505.7217970588236</v>
      </c>
      <c r="U38" s="17">
        <v>904.06788970588229</v>
      </c>
      <c r="V38" s="17">
        <v>904.06788970588229</v>
      </c>
      <c r="W38" s="17">
        <v>533.15679705882349</v>
      </c>
      <c r="X38" s="17">
        <v>533.15679705882349</v>
      </c>
      <c r="Y38" s="42">
        <v>616.71589411764717</v>
      </c>
    </row>
    <row r="39" spans="1:25" x14ac:dyDescent="0.3">
      <c r="A39" s="18">
        <v>36</v>
      </c>
      <c r="B39" s="19" t="s">
        <v>37</v>
      </c>
      <c r="C39" s="20">
        <v>2.5</v>
      </c>
      <c r="D39" s="21" t="s">
        <v>21</v>
      </c>
      <c r="E39" s="21" t="s">
        <v>11</v>
      </c>
      <c r="F39" s="21" t="s">
        <v>35</v>
      </c>
      <c r="G39" s="22">
        <v>505.7217970588236</v>
      </c>
      <c r="H39" s="24">
        <v>505.7217970588236</v>
      </c>
      <c r="I39" s="24">
        <v>616.71589411764717</v>
      </c>
      <c r="J39" s="24">
        <v>616.71589411764717</v>
      </c>
      <c r="K39" s="24">
        <v>519.43929705882351</v>
      </c>
      <c r="L39" s="24">
        <v>519.43929705882351</v>
      </c>
      <c r="M39" s="24">
        <v>935.86073382352947</v>
      </c>
      <c r="N39" s="24">
        <v>935.86073382352947</v>
      </c>
      <c r="O39" s="24">
        <v>505.7217970588236</v>
      </c>
      <c r="P39" s="24">
        <v>505.7217970588236</v>
      </c>
      <c r="Q39" s="24">
        <v>723.2620852941177</v>
      </c>
      <c r="R39" s="24">
        <v>723.2620852941177</v>
      </c>
      <c r="S39" s="24">
        <v>505.7217970588236</v>
      </c>
      <c r="T39" s="24">
        <v>505.7217970588236</v>
      </c>
      <c r="U39" s="24">
        <v>935.86073382352947</v>
      </c>
      <c r="V39" s="24">
        <v>935.86073382352947</v>
      </c>
      <c r="W39" s="24">
        <v>533.15679705882349</v>
      </c>
      <c r="X39" s="24">
        <v>533.15679705882349</v>
      </c>
      <c r="Y39" s="23">
        <v>602.99839411764697</v>
      </c>
    </row>
    <row r="40" spans="1:25" x14ac:dyDescent="0.3">
      <c r="A40" s="25">
        <v>37</v>
      </c>
      <c r="B40" s="26" t="s">
        <v>38</v>
      </c>
      <c r="C40" s="27">
        <v>2.5</v>
      </c>
      <c r="D40" s="28" t="s">
        <v>21</v>
      </c>
      <c r="E40" s="28" t="s">
        <v>11</v>
      </c>
      <c r="F40" s="28" t="s">
        <v>35</v>
      </c>
      <c r="G40" s="29">
        <v>505.7217970588236</v>
      </c>
      <c r="H40" s="31">
        <v>505.7217970588236</v>
      </c>
      <c r="I40" s="31">
        <v>616.71589411764717</v>
      </c>
      <c r="J40" s="31">
        <v>616.71589411764717</v>
      </c>
      <c r="K40" s="31">
        <v>519.43929705882351</v>
      </c>
      <c r="L40" s="31">
        <v>519.43929705882351</v>
      </c>
      <c r="M40" s="31">
        <v>904.06788970588229</v>
      </c>
      <c r="N40" s="31">
        <v>904.06788970588229</v>
      </c>
      <c r="O40" s="31">
        <v>505.7217970588236</v>
      </c>
      <c r="P40" s="31">
        <v>505.7217970588236</v>
      </c>
      <c r="Q40" s="31">
        <v>723.2620852941177</v>
      </c>
      <c r="R40" s="31">
        <v>723.2620852941177</v>
      </c>
      <c r="S40" s="31">
        <v>505.7217970588236</v>
      </c>
      <c r="T40" s="31">
        <v>505.7217970588236</v>
      </c>
      <c r="U40" s="31">
        <v>904.06788970588229</v>
      </c>
      <c r="V40" s="31">
        <v>904.06788970588229</v>
      </c>
      <c r="W40" s="31">
        <v>533.15679705882349</v>
      </c>
      <c r="X40" s="31">
        <v>533.15679705882349</v>
      </c>
      <c r="Y40" s="43">
        <v>616.71589411764717</v>
      </c>
    </row>
  </sheetData>
  <mergeCells count="2">
    <mergeCell ref="A1:F1"/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FAFC-74DF-4DD1-9B56-6AEC9252F81B}">
  <dimension ref="A1:P62"/>
  <sheetViews>
    <sheetView topLeftCell="A39" workbookViewId="0">
      <selection activeCell="B54" sqref="B54"/>
    </sheetView>
  </sheetViews>
  <sheetFormatPr baseColWidth="10" defaultRowHeight="14.4" x14ac:dyDescent="0.3"/>
  <cols>
    <col min="2" max="2" width="18.88671875" bestFit="1" customWidth="1"/>
  </cols>
  <sheetData>
    <row r="1" spans="1:16" ht="18" x14ac:dyDescent="0.35">
      <c r="A1" s="211" t="s">
        <v>39</v>
      </c>
      <c r="B1" s="211"/>
      <c r="C1" s="211"/>
      <c r="D1" s="211"/>
      <c r="E1" s="211"/>
      <c r="F1" s="211"/>
      <c r="G1" s="1" t="s">
        <v>1</v>
      </c>
      <c r="H1" s="2">
        <v>0.2</v>
      </c>
      <c r="M1" s="207" t="s">
        <v>2</v>
      </c>
      <c r="N1" s="207"/>
      <c r="O1" s="207"/>
      <c r="P1" s="3">
        <v>3.4</v>
      </c>
    </row>
    <row r="3" spans="1:16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69</v>
      </c>
      <c r="H3" s="40" t="s">
        <v>88</v>
      </c>
      <c r="I3" s="39" t="s">
        <v>89</v>
      </c>
      <c r="J3" s="39" t="s">
        <v>90</v>
      </c>
      <c r="K3" s="39" t="s">
        <v>91</v>
      </c>
      <c r="L3" s="39" t="s">
        <v>92</v>
      </c>
      <c r="M3" s="39" t="s">
        <v>93</v>
      </c>
      <c r="N3" s="41" t="s">
        <v>94</v>
      </c>
      <c r="O3" s="7" t="s">
        <v>95</v>
      </c>
      <c r="P3" s="44" t="s">
        <v>96</v>
      </c>
    </row>
    <row r="4" spans="1:16" x14ac:dyDescent="0.3">
      <c r="A4" s="11">
        <v>1</v>
      </c>
      <c r="B4" s="12" t="s">
        <v>40</v>
      </c>
      <c r="C4" s="13">
        <v>1</v>
      </c>
      <c r="D4" s="14" t="s">
        <v>21</v>
      </c>
      <c r="E4" s="14" t="s">
        <v>12</v>
      </c>
      <c r="F4" s="14" t="s">
        <v>22</v>
      </c>
      <c r="G4" s="15">
        <v>343.83701139705886</v>
      </c>
      <c r="H4" s="17">
        <v>488.6234018382354</v>
      </c>
      <c r="I4" s="17">
        <v>564.65170852941196</v>
      </c>
      <c r="J4" s="17">
        <v>659.04349191176482</v>
      </c>
      <c r="K4" s="17">
        <v>652.26551580882358</v>
      </c>
      <c r="L4" s="17">
        <v>679.60110926470611</v>
      </c>
      <c r="M4" s="17">
        <v>588.14178198529419</v>
      </c>
      <c r="N4" s="17">
        <v>580.14496102941177</v>
      </c>
      <c r="O4" s="17">
        <v>735.10897323529412</v>
      </c>
      <c r="P4" s="16">
        <v>503.7312672794119</v>
      </c>
    </row>
    <row r="5" spans="1:16" x14ac:dyDescent="0.3">
      <c r="A5" s="18">
        <v>2</v>
      </c>
      <c r="B5" s="19" t="s">
        <v>40</v>
      </c>
      <c r="C5" s="20">
        <v>1.2</v>
      </c>
      <c r="D5" s="21" t="s">
        <v>21</v>
      </c>
      <c r="E5" s="21" t="s">
        <v>12</v>
      </c>
      <c r="F5" s="21" t="s">
        <v>22</v>
      </c>
      <c r="G5" s="22">
        <v>356.68252610294121</v>
      </c>
      <c r="H5" s="24">
        <v>503.44981985294123</v>
      </c>
      <c r="I5" s="24">
        <v>579.40023352941182</v>
      </c>
      <c r="J5" s="24">
        <v>673.86990992647077</v>
      </c>
      <c r="K5" s="24">
        <v>667.01404080882355</v>
      </c>
      <c r="L5" s="24">
        <v>694.42752727941195</v>
      </c>
      <c r="M5" s="24">
        <v>602.89030698529416</v>
      </c>
      <c r="N5" s="24">
        <v>594.97137904411761</v>
      </c>
      <c r="O5" s="24">
        <v>749.8574982352942</v>
      </c>
      <c r="P5" s="23">
        <v>516.92193198529412</v>
      </c>
    </row>
    <row r="6" spans="1:16" x14ac:dyDescent="0.3">
      <c r="A6" s="11">
        <v>3</v>
      </c>
      <c r="B6" s="12" t="s">
        <v>40</v>
      </c>
      <c r="C6" s="13">
        <v>1.2</v>
      </c>
      <c r="D6" s="14" t="s">
        <v>23</v>
      </c>
      <c r="E6" s="14" t="s">
        <v>12</v>
      </c>
      <c r="F6" s="14" t="s">
        <v>22</v>
      </c>
      <c r="G6" s="15">
        <v>356.68252610294121</v>
      </c>
      <c r="H6" s="17">
        <v>503.44981985294123</v>
      </c>
      <c r="I6" s="17">
        <v>579.40023352941182</v>
      </c>
      <c r="J6" s="17">
        <v>673.86990992647077</v>
      </c>
      <c r="K6" s="17">
        <v>667.01404080882355</v>
      </c>
      <c r="L6" s="17">
        <v>694.42752727941195</v>
      </c>
      <c r="M6" s="17">
        <v>602.89030698529416</v>
      </c>
      <c r="N6" s="17">
        <v>594.97137904411761</v>
      </c>
      <c r="O6" s="17">
        <v>749.8574982352942</v>
      </c>
      <c r="P6" s="16">
        <v>516.92193198529412</v>
      </c>
    </row>
    <row r="7" spans="1:16" x14ac:dyDescent="0.3">
      <c r="A7" s="18">
        <v>4</v>
      </c>
      <c r="B7" s="19" t="s">
        <v>20</v>
      </c>
      <c r="C7" s="20">
        <v>1</v>
      </c>
      <c r="D7" s="21" t="s">
        <v>21</v>
      </c>
      <c r="E7" s="21" t="s">
        <v>12</v>
      </c>
      <c r="F7" s="21" t="s">
        <v>22</v>
      </c>
      <c r="G7" s="22">
        <v>343.83701139705886</v>
      </c>
      <c r="H7" s="24">
        <v>401.00195955882344</v>
      </c>
      <c r="I7" s="24">
        <v>481.202715882353</v>
      </c>
      <c r="J7" s="24">
        <v>566.50249080882361</v>
      </c>
      <c r="K7" s="24">
        <v>563.20406360294135</v>
      </c>
      <c r="L7" s="24">
        <v>591.09665227941184</v>
      </c>
      <c r="M7" s="24">
        <v>504.69278933823534</v>
      </c>
      <c r="N7" s="24">
        <v>487.60395992647068</v>
      </c>
      <c r="O7" s="24">
        <v>646.04752102941177</v>
      </c>
      <c r="P7" s="23">
        <v>502.84825257352952</v>
      </c>
    </row>
    <row r="8" spans="1:16" x14ac:dyDescent="0.3">
      <c r="A8" s="11">
        <v>5</v>
      </c>
      <c r="B8" s="12" t="s">
        <v>20</v>
      </c>
      <c r="C8" s="13">
        <v>1.2</v>
      </c>
      <c r="D8" s="14" t="s">
        <v>21</v>
      </c>
      <c r="E8" s="14" t="s">
        <v>12</v>
      </c>
      <c r="F8" s="14" t="s">
        <v>22</v>
      </c>
      <c r="G8" s="15">
        <v>356.68252610294121</v>
      </c>
      <c r="H8" s="17">
        <v>414.19262426470584</v>
      </c>
      <c r="I8" s="17">
        <v>494.39338058823535</v>
      </c>
      <c r="J8" s="17">
        <v>579.69315551470606</v>
      </c>
      <c r="K8" s="17">
        <v>576.39472830882369</v>
      </c>
      <c r="L8" s="17">
        <v>604.28731698529418</v>
      </c>
      <c r="M8" s="17">
        <v>517.88345404411768</v>
      </c>
      <c r="N8" s="17">
        <v>500.79462463235291</v>
      </c>
      <c r="O8" s="17">
        <v>659.23818573529422</v>
      </c>
      <c r="P8" s="16">
        <v>516.03891727941186</v>
      </c>
    </row>
    <row r="9" spans="1:16" x14ac:dyDescent="0.3">
      <c r="A9" s="18">
        <v>6</v>
      </c>
      <c r="B9" s="19" t="s">
        <v>20</v>
      </c>
      <c r="C9" s="20">
        <v>1.2</v>
      </c>
      <c r="D9" s="21" t="s">
        <v>23</v>
      </c>
      <c r="E9" s="21" t="s">
        <v>12</v>
      </c>
      <c r="F9" s="21" t="s">
        <v>22</v>
      </c>
      <c r="G9" s="22">
        <v>356.68252610294121</v>
      </c>
      <c r="H9" s="24">
        <v>414.19262426470584</v>
      </c>
      <c r="I9" s="24">
        <v>494.39338058823535</v>
      </c>
      <c r="J9" s="24">
        <v>579.69315551470606</v>
      </c>
      <c r="K9" s="24">
        <v>576.39472830882369</v>
      </c>
      <c r="L9" s="24">
        <v>604.28731698529418</v>
      </c>
      <c r="M9" s="24">
        <v>517.88345404411768</v>
      </c>
      <c r="N9" s="24">
        <v>500.79462463235291</v>
      </c>
      <c r="O9" s="24">
        <v>659.23818573529422</v>
      </c>
      <c r="P9" s="23">
        <v>516.03891727941186</v>
      </c>
    </row>
    <row r="10" spans="1:16" x14ac:dyDescent="0.3">
      <c r="A10" s="11">
        <v>7</v>
      </c>
      <c r="B10" s="12" t="s">
        <v>25</v>
      </c>
      <c r="C10" s="13">
        <v>1.4</v>
      </c>
      <c r="D10" s="14" t="s">
        <v>21</v>
      </c>
      <c r="E10" s="14" t="s">
        <v>12</v>
      </c>
      <c r="F10" s="14" t="s">
        <v>22</v>
      </c>
      <c r="G10" s="15">
        <v>356.68252610294121</v>
      </c>
      <c r="H10" s="17">
        <v>427.95509007352945</v>
      </c>
      <c r="I10" s="17">
        <v>507.50049088235306</v>
      </c>
      <c r="J10" s="17">
        <v>697.27471102941195</v>
      </c>
      <c r="K10" s="17">
        <v>691.15865845588246</v>
      </c>
      <c r="L10" s="17">
        <v>725.30504602941198</v>
      </c>
      <c r="M10" s="17">
        <v>630.61553492647067</v>
      </c>
      <c r="N10" s="17">
        <v>618.37618014705879</v>
      </c>
      <c r="O10" s="17">
        <v>774.002115882353</v>
      </c>
      <c r="P10" s="16">
        <v>518.68796139705898</v>
      </c>
    </row>
    <row r="11" spans="1:16" x14ac:dyDescent="0.3">
      <c r="A11" s="18">
        <v>8</v>
      </c>
      <c r="B11" s="19" t="s">
        <v>25</v>
      </c>
      <c r="C11" s="20">
        <v>1.4</v>
      </c>
      <c r="D11" s="21" t="s">
        <v>23</v>
      </c>
      <c r="E11" s="21" t="s">
        <v>12</v>
      </c>
      <c r="F11" s="21" t="s">
        <v>22</v>
      </c>
      <c r="G11" s="22">
        <v>356.68252610294121</v>
      </c>
      <c r="H11" s="24">
        <v>427.95509007352945</v>
      </c>
      <c r="I11" s="24">
        <v>507.50049088235306</v>
      </c>
      <c r="J11" s="24">
        <v>697.27471102941195</v>
      </c>
      <c r="K11" s="24">
        <v>691.15865845588246</v>
      </c>
      <c r="L11" s="24">
        <v>725.30504602941198</v>
      </c>
      <c r="M11" s="24">
        <v>630.61553492647067</v>
      </c>
      <c r="N11" s="24">
        <v>618.37618014705879</v>
      </c>
      <c r="O11" s="24">
        <v>774.002115882353</v>
      </c>
      <c r="P11" s="23">
        <v>518.68796139705898</v>
      </c>
    </row>
    <row r="12" spans="1:16" x14ac:dyDescent="0.3">
      <c r="A12" s="11">
        <v>9</v>
      </c>
      <c r="B12" s="12" t="s">
        <v>25</v>
      </c>
      <c r="C12" s="13">
        <v>1.4</v>
      </c>
      <c r="D12" s="14" t="s">
        <v>21</v>
      </c>
      <c r="E12" s="14" t="s">
        <v>12</v>
      </c>
      <c r="F12" s="14" t="s">
        <v>26</v>
      </c>
      <c r="G12" s="15">
        <v>399.00029779411773</v>
      </c>
      <c r="H12" s="17">
        <v>556.49684999999999</v>
      </c>
      <c r="I12" s="17">
        <v>633.85551992647072</v>
      </c>
      <c r="J12" s="17">
        <v>825.81647095588244</v>
      </c>
      <c r="K12" s="17">
        <v>817.51368750000006</v>
      </c>
      <c r="L12" s="17">
        <v>961.38289566176491</v>
      </c>
      <c r="M12" s="17">
        <v>859.38588750000031</v>
      </c>
      <c r="N12" s="17">
        <v>746.91794007352951</v>
      </c>
      <c r="O12" s="17">
        <v>900.35714492647082</v>
      </c>
      <c r="P12" s="16">
        <v>718.72047683823541</v>
      </c>
    </row>
    <row r="13" spans="1:16" x14ac:dyDescent="0.3">
      <c r="A13" s="18">
        <v>10</v>
      </c>
      <c r="B13" s="19" t="s">
        <v>25</v>
      </c>
      <c r="C13" s="20">
        <v>1.4</v>
      </c>
      <c r="D13" s="21" t="s">
        <v>23</v>
      </c>
      <c r="E13" s="21" t="s">
        <v>12</v>
      </c>
      <c r="F13" s="21" t="s">
        <v>26</v>
      </c>
      <c r="G13" s="22">
        <v>399.00029779411773</v>
      </c>
      <c r="H13" s="24">
        <v>556.49684999999999</v>
      </c>
      <c r="I13" s="24">
        <v>633.85551992647072</v>
      </c>
      <c r="J13" s="24">
        <v>825.81647095588244</v>
      </c>
      <c r="K13" s="24">
        <v>817.51368750000006</v>
      </c>
      <c r="L13" s="24">
        <v>961.38289566176491</v>
      </c>
      <c r="M13" s="24">
        <v>859.38588750000031</v>
      </c>
      <c r="N13" s="24">
        <v>746.91794007352951</v>
      </c>
      <c r="O13" s="24">
        <v>900.35714492647082</v>
      </c>
      <c r="P13" s="23">
        <v>718.72047683823541</v>
      </c>
    </row>
    <row r="14" spans="1:16" x14ac:dyDescent="0.3">
      <c r="A14" s="11">
        <v>11</v>
      </c>
      <c r="B14" s="12" t="s">
        <v>25</v>
      </c>
      <c r="C14" s="13">
        <v>1.4</v>
      </c>
      <c r="D14" s="14" t="s">
        <v>21</v>
      </c>
      <c r="E14" s="14" t="s">
        <v>12</v>
      </c>
      <c r="F14" s="14" t="s">
        <v>27</v>
      </c>
      <c r="G14" s="15">
        <v>392.69096360294117</v>
      </c>
      <c r="H14" s="17">
        <v>544.17862610294128</v>
      </c>
      <c r="I14" s="17">
        <v>621.53729602941189</v>
      </c>
      <c r="J14" s="17">
        <v>813.49824705882384</v>
      </c>
      <c r="K14" s="17">
        <v>805.19546360294135</v>
      </c>
      <c r="L14" s="17">
        <v>949.0646717647063</v>
      </c>
      <c r="M14" s="17">
        <v>847.06766360294137</v>
      </c>
      <c r="N14" s="17">
        <v>734.59971617647068</v>
      </c>
      <c r="O14" s="17">
        <v>888.03892102941199</v>
      </c>
      <c r="P14" s="16">
        <v>706.40225294117658</v>
      </c>
    </row>
    <row r="15" spans="1:16" x14ac:dyDescent="0.3">
      <c r="A15" s="18">
        <v>12</v>
      </c>
      <c r="B15" s="19" t="s">
        <v>25</v>
      </c>
      <c r="C15" s="20">
        <v>1.4</v>
      </c>
      <c r="D15" s="21" t="s">
        <v>23</v>
      </c>
      <c r="E15" s="21" t="s">
        <v>12</v>
      </c>
      <c r="F15" s="21" t="s">
        <v>27</v>
      </c>
      <c r="G15" s="22">
        <v>392.69096360294117</v>
      </c>
      <c r="H15" s="24">
        <v>544.17862610294128</v>
      </c>
      <c r="I15" s="24">
        <v>621.53729602941189</v>
      </c>
      <c r="J15" s="24">
        <v>813.49824705882384</v>
      </c>
      <c r="K15" s="24">
        <v>805.19546360294135</v>
      </c>
      <c r="L15" s="24">
        <v>949.0646717647063</v>
      </c>
      <c r="M15" s="24">
        <v>847.06766360294137</v>
      </c>
      <c r="N15" s="24">
        <v>734.59971617647068</v>
      </c>
      <c r="O15" s="24">
        <v>888.03892102941199</v>
      </c>
      <c r="P15" s="23">
        <v>706.40225294117658</v>
      </c>
    </row>
    <row r="16" spans="1:16" x14ac:dyDescent="0.3">
      <c r="A16" s="11">
        <v>13</v>
      </c>
      <c r="B16" s="12" t="s">
        <v>41</v>
      </c>
      <c r="C16" s="13">
        <v>1.2</v>
      </c>
      <c r="D16" s="14" t="s">
        <v>21</v>
      </c>
      <c r="E16" s="14" t="s">
        <v>12</v>
      </c>
      <c r="F16" s="14" t="s">
        <v>22</v>
      </c>
      <c r="G16" s="15">
        <v>356.68252610294121</v>
      </c>
      <c r="H16" s="17">
        <v>515.65387874999999</v>
      </c>
      <c r="I16" s="17">
        <v>580.19656433823548</v>
      </c>
      <c r="J16" s="17">
        <v>660.01679669117652</v>
      </c>
      <c r="K16" s="17">
        <v>674.46721147058838</v>
      </c>
      <c r="L16" s="17">
        <v>695.28945220588241</v>
      </c>
      <c r="M16" s="17">
        <v>593.89115845588242</v>
      </c>
      <c r="N16" s="17">
        <v>602.25587911764705</v>
      </c>
      <c r="O16" s="17">
        <v>759.63260955882367</v>
      </c>
      <c r="P16" s="16">
        <v>519.62430551470595</v>
      </c>
    </row>
    <row r="17" spans="1:16" x14ac:dyDescent="0.3">
      <c r="A17" s="18">
        <v>14</v>
      </c>
      <c r="B17" s="19" t="s">
        <v>41</v>
      </c>
      <c r="C17" s="20">
        <v>1.4</v>
      </c>
      <c r="D17" s="21" t="s">
        <v>21</v>
      </c>
      <c r="E17" s="21" t="s">
        <v>12</v>
      </c>
      <c r="F17" s="21" t="s">
        <v>22</v>
      </c>
      <c r="G17" s="22">
        <v>356.10623492647062</v>
      </c>
      <c r="H17" s="24">
        <v>547.73990514705883</v>
      </c>
      <c r="I17" s="24">
        <v>621.55382470588233</v>
      </c>
      <c r="J17" s="24">
        <v>713.24043639705894</v>
      </c>
      <c r="K17" s="24">
        <v>706.33666875000006</v>
      </c>
      <c r="L17" s="24">
        <v>740.4836419852943</v>
      </c>
      <c r="M17" s="24">
        <v>645.0438981617649</v>
      </c>
      <c r="N17" s="24">
        <v>634.3419055147059</v>
      </c>
      <c r="O17" s="24">
        <v>804.27087286764709</v>
      </c>
      <c r="P17" s="23">
        <v>532.48380992647071</v>
      </c>
    </row>
    <row r="18" spans="1:16" x14ac:dyDescent="0.3">
      <c r="A18" s="11">
        <v>15</v>
      </c>
      <c r="B18" s="12" t="s">
        <v>41</v>
      </c>
      <c r="C18" s="13">
        <v>1.4</v>
      </c>
      <c r="D18" s="14" t="s">
        <v>23</v>
      </c>
      <c r="E18" s="14" t="s">
        <v>12</v>
      </c>
      <c r="F18" s="14" t="s">
        <v>22</v>
      </c>
      <c r="G18" s="15">
        <v>356.10623492647062</v>
      </c>
      <c r="H18" s="17">
        <v>547.73990514705883</v>
      </c>
      <c r="I18" s="17">
        <v>621.55382470588233</v>
      </c>
      <c r="J18" s="17">
        <v>713.24043639705894</v>
      </c>
      <c r="K18" s="17">
        <v>706.33666875000006</v>
      </c>
      <c r="L18" s="17">
        <v>740.4836419852943</v>
      </c>
      <c r="M18" s="17">
        <v>645.0438981617649</v>
      </c>
      <c r="N18" s="17">
        <v>634.3419055147059</v>
      </c>
      <c r="O18" s="17">
        <v>804.27087286764709</v>
      </c>
      <c r="P18" s="16">
        <v>532.48380992647071</v>
      </c>
    </row>
    <row r="19" spans="1:16" x14ac:dyDescent="0.3">
      <c r="A19" s="18">
        <v>16</v>
      </c>
      <c r="B19" s="19" t="s">
        <v>28</v>
      </c>
      <c r="C19" s="20">
        <v>1.4</v>
      </c>
      <c r="D19" s="21" t="s">
        <v>21</v>
      </c>
      <c r="E19" s="21" t="s">
        <v>12</v>
      </c>
      <c r="F19" s="21" t="s">
        <v>22</v>
      </c>
      <c r="G19" s="22">
        <v>356.68252610294121</v>
      </c>
      <c r="H19" s="24">
        <v>418.86620514705885</v>
      </c>
      <c r="I19" s="24">
        <v>498.84441000000015</v>
      </c>
      <c r="J19" s="24">
        <v>584.36673639705884</v>
      </c>
      <c r="K19" s="24">
        <v>583.62725404411776</v>
      </c>
      <c r="L19" s="24">
        <v>611.6099419852942</v>
      </c>
      <c r="M19" s="24">
        <v>522.33448345588249</v>
      </c>
      <c r="N19" s="24">
        <v>505.46820551470591</v>
      </c>
      <c r="O19" s="24">
        <v>666.47071147058841</v>
      </c>
      <c r="P19" s="23">
        <v>518.68796139705898</v>
      </c>
    </row>
    <row r="20" spans="1:16" x14ac:dyDescent="0.3">
      <c r="A20" s="11">
        <v>17</v>
      </c>
      <c r="B20" s="12" t="s">
        <v>28</v>
      </c>
      <c r="C20" s="13">
        <v>1.4</v>
      </c>
      <c r="D20" s="14" t="s">
        <v>23</v>
      </c>
      <c r="E20" s="14" t="s">
        <v>12</v>
      </c>
      <c r="F20" s="14" t="s">
        <v>22</v>
      </c>
      <c r="G20" s="15">
        <v>356.68252610294121</v>
      </c>
      <c r="H20" s="17">
        <v>418.86620514705885</v>
      </c>
      <c r="I20" s="17">
        <v>498.84441000000015</v>
      </c>
      <c r="J20" s="17">
        <v>584.36673639705884</v>
      </c>
      <c r="K20" s="17">
        <v>582.70008860294126</v>
      </c>
      <c r="L20" s="17">
        <v>610.72692727941194</v>
      </c>
      <c r="M20" s="17">
        <v>522.33448345588249</v>
      </c>
      <c r="N20" s="17">
        <v>505.46820551470591</v>
      </c>
      <c r="O20" s="17">
        <v>665.5435460294118</v>
      </c>
      <c r="P20" s="16">
        <v>517.80494669117661</v>
      </c>
    </row>
    <row r="21" spans="1:16" x14ac:dyDescent="0.3">
      <c r="A21" s="18">
        <v>18</v>
      </c>
      <c r="B21" s="19" t="s">
        <v>42</v>
      </c>
      <c r="C21" s="20">
        <v>1.6</v>
      </c>
      <c r="D21" s="21" t="s">
        <v>21</v>
      </c>
      <c r="E21" s="21" t="s">
        <v>12</v>
      </c>
      <c r="F21" s="21" t="s">
        <v>22</v>
      </c>
      <c r="G21" s="22">
        <v>358.24715404411762</v>
      </c>
      <c r="H21" s="24">
        <v>489.96892720588249</v>
      </c>
      <c r="I21" s="24">
        <v>566.63853352941192</v>
      </c>
      <c r="J21" s="24">
        <v>672.97078897058839</v>
      </c>
      <c r="K21" s="24">
        <v>673.65230404411795</v>
      </c>
      <c r="L21" s="24">
        <v>688.01075227941203</v>
      </c>
      <c r="M21" s="24">
        <v>590.12860698529425</v>
      </c>
      <c r="N21" s="24">
        <v>594.07225808823546</v>
      </c>
      <c r="O21" s="24">
        <v>770.89913647058847</v>
      </c>
      <c r="P21" s="23">
        <v>539.3257025735295</v>
      </c>
    </row>
    <row r="22" spans="1:16" x14ac:dyDescent="0.3">
      <c r="A22" s="11">
        <v>19</v>
      </c>
      <c r="B22" s="12" t="s">
        <v>42</v>
      </c>
      <c r="C22" s="13">
        <v>1.6</v>
      </c>
      <c r="D22" s="14" t="s">
        <v>23</v>
      </c>
      <c r="E22" s="14" t="s">
        <v>12</v>
      </c>
      <c r="F22" s="14" t="s">
        <v>22</v>
      </c>
      <c r="G22" s="15">
        <v>358.24715404411762</v>
      </c>
      <c r="H22" s="17">
        <v>489.96892720588249</v>
      </c>
      <c r="I22" s="17">
        <v>566.63853352941192</v>
      </c>
      <c r="J22" s="17">
        <v>672.97078897058839</v>
      </c>
      <c r="K22" s="17">
        <v>672.72513860294134</v>
      </c>
      <c r="L22" s="17">
        <v>687.12773757352966</v>
      </c>
      <c r="M22" s="17">
        <v>590.12860698529425</v>
      </c>
      <c r="N22" s="17">
        <v>594.07225808823546</v>
      </c>
      <c r="O22" s="17">
        <v>769.97197102941186</v>
      </c>
      <c r="P22" s="16">
        <v>538.44268786764712</v>
      </c>
    </row>
    <row r="23" spans="1:16" x14ac:dyDescent="0.3">
      <c r="A23" s="18">
        <v>20</v>
      </c>
      <c r="B23" s="19" t="s">
        <v>42</v>
      </c>
      <c r="C23" s="20">
        <v>2</v>
      </c>
      <c r="D23" s="21" t="s">
        <v>21</v>
      </c>
      <c r="E23" s="21" t="s">
        <v>12</v>
      </c>
      <c r="F23" s="21" t="s">
        <v>22</v>
      </c>
      <c r="G23" s="22">
        <v>358.24715404411762</v>
      </c>
      <c r="H23" s="24">
        <v>549.93834926470595</v>
      </c>
      <c r="I23" s="24">
        <v>623.75226882352968</v>
      </c>
      <c r="J23" s="24">
        <v>732.9402110294119</v>
      </c>
      <c r="K23" s="24">
        <v>731.69320477941187</v>
      </c>
      <c r="L23" s="24">
        <v>748.8631890441178</v>
      </c>
      <c r="M23" s="24">
        <v>647.2423422794119</v>
      </c>
      <c r="N23" s="24">
        <v>654.04168014705874</v>
      </c>
      <c r="O23" s="24">
        <v>814.53666220588252</v>
      </c>
      <c r="P23" s="23">
        <v>526.49121727941179</v>
      </c>
    </row>
    <row r="24" spans="1:16" x14ac:dyDescent="0.3">
      <c r="A24" s="11">
        <v>21</v>
      </c>
      <c r="B24" s="12" t="s">
        <v>29</v>
      </c>
      <c r="C24" s="13">
        <v>1.6</v>
      </c>
      <c r="D24" s="14" t="s">
        <v>21</v>
      </c>
      <c r="E24" s="14" t="s">
        <v>12</v>
      </c>
      <c r="F24" s="14" t="s">
        <v>22</v>
      </c>
      <c r="G24" s="15">
        <v>358.24715404411762</v>
      </c>
      <c r="H24" s="17">
        <v>492.31801654411782</v>
      </c>
      <c r="I24" s="17">
        <v>568.87576147058849</v>
      </c>
      <c r="J24" s="17">
        <v>652.54232095588259</v>
      </c>
      <c r="K24" s="17">
        <v>648.63362757352945</v>
      </c>
      <c r="L24" s="17">
        <v>796.83822948529439</v>
      </c>
      <c r="M24" s="17">
        <v>698.81962169117662</v>
      </c>
      <c r="N24" s="17">
        <v>573.64379007352954</v>
      </c>
      <c r="O24" s="17">
        <v>745.88046000000008</v>
      </c>
      <c r="P24" s="16">
        <v>534.02761433823525</v>
      </c>
    </row>
    <row r="25" spans="1:16" x14ac:dyDescent="0.3">
      <c r="A25" s="18">
        <v>22</v>
      </c>
      <c r="B25" s="19" t="s">
        <v>29</v>
      </c>
      <c r="C25" s="20">
        <v>1.6</v>
      </c>
      <c r="D25" s="21" t="s">
        <v>23</v>
      </c>
      <c r="E25" s="21" t="s">
        <v>12</v>
      </c>
      <c r="F25" s="21" t="s">
        <v>22</v>
      </c>
      <c r="G25" s="22">
        <v>358.24715404411762</v>
      </c>
      <c r="H25" s="24">
        <v>492.31801654411782</v>
      </c>
      <c r="I25" s="24">
        <v>568.87576147058849</v>
      </c>
      <c r="J25" s="24">
        <v>652.54232095588259</v>
      </c>
      <c r="K25" s="24">
        <v>647.70646213235307</v>
      </c>
      <c r="L25" s="24">
        <v>795.9552147794119</v>
      </c>
      <c r="M25" s="24">
        <v>698.81962169117662</v>
      </c>
      <c r="N25" s="24">
        <v>573.64379007352954</v>
      </c>
      <c r="O25" s="24">
        <v>744.9532945588237</v>
      </c>
      <c r="P25" s="23">
        <v>533.14459963235299</v>
      </c>
    </row>
    <row r="26" spans="1:16" x14ac:dyDescent="0.3">
      <c r="A26" s="11">
        <v>23</v>
      </c>
      <c r="B26" s="12" t="s">
        <v>43</v>
      </c>
      <c r="C26" s="13">
        <v>2</v>
      </c>
      <c r="D26" s="14" t="s">
        <v>21</v>
      </c>
      <c r="E26" s="14" t="s">
        <v>12</v>
      </c>
      <c r="F26" s="14" t="s">
        <v>22</v>
      </c>
      <c r="G26" s="15">
        <v>371.09266874999997</v>
      </c>
      <c r="H26" s="17">
        <v>573.49698419117658</v>
      </c>
      <c r="I26" s="17">
        <v>646.81719088235309</v>
      </c>
      <c r="J26" s="17">
        <v>769.17900882352978</v>
      </c>
      <c r="K26" s="17">
        <v>769.61596875000032</v>
      </c>
      <c r="L26" s="17">
        <v>775.07086808823556</v>
      </c>
      <c r="M26" s="17">
        <v>670.30726433823531</v>
      </c>
      <c r="N26" s="17">
        <v>690.28047794117651</v>
      </c>
      <c r="O26" s="17">
        <v>852.45942617647074</v>
      </c>
      <c r="P26" s="16">
        <v>542.33092610294125</v>
      </c>
    </row>
    <row r="27" spans="1:16" x14ac:dyDescent="0.3">
      <c r="A27" s="18">
        <v>24</v>
      </c>
      <c r="B27" s="19" t="s">
        <v>43</v>
      </c>
      <c r="C27" s="20">
        <v>2</v>
      </c>
      <c r="D27" s="21" t="s">
        <v>23</v>
      </c>
      <c r="E27" s="21" t="s">
        <v>12</v>
      </c>
      <c r="F27" s="21" t="s">
        <v>22</v>
      </c>
      <c r="G27" s="22">
        <v>371.09266874999997</v>
      </c>
      <c r="H27" s="24">
        <v>573.49698419117658</v>
      </c>
      <c r="I27" s="24">
        <v>646.81719088235309</v>
      </c>
      <c r="J27" s="24">
        <v>769.17900882352978</v>
      </c>
      <c r="K27" s="24">
        <v>766.83447242647082</v>
      </c>
      <c r="L27" s="24">
        <v>772.42182397058832</v>
      </c>
      <c r="M27" s="24">
        <v>670.30726433823531</v>
      </c>
      <c r="N27" s="24">
        <v>690.28047794117651</v>
      </c>
      <c r="O27" s="24">
        <v>849.67792985294136</v>
      </c>
      <c r="P27" s="23">
        <v>539.68188198529424</v>
      </c>
    </row>
    <row r="28" spans="1:16" x14ac:dyDescent="0.3">
      <c r="A28" s="11">
        <v>25</v>
      </c>
      <c r="B28" s="12" t="s">
        <v>44</v>
      </c>
      <c r="C28" s="13">
        <v>1.4</v>
      </c>
      <c r="D28" s="14" t="s">
        <v>45</v>
      </c>
      <c r="E28" s="14" t="s">
        <v>12</v>
      </c>
      <c r="F28" s="14" t="s">
        <v>22</v>
      </c>
      <c r="G28" s="15">
        <v>387.03672463235296</v>
      </c>
      <c r="H28" s="17">
        <v>454.06298051470588</v>
      </c>
      <c r="I28" s="17">
        <v>533.82976147058844</v>
      </c>
      <c r="J28" s="17">
        <v>629.95607977941177</v>
      </c>
      <c r="K28" s="17">
        <v>647.98076360294135</v>
      </c>
      <c r="L28" s="17">
        <v>740.25440889705897</v>
      </c>
      <c r="M28" s="17">
        <v>799.72680110294129</v>
      </c>
      <c r="N28" s="17">
        <v>713.9808430147059</v>
      </c>
      <c r="O28" s="17">
        <v>730.82422102941189</v>
      </c>
      <c r="P28" s="16">
        <v>567.98814375000006</v>
      </c>
    </row>
    <row r="29" spans="1:16" x14ac:dyDescent="0.3">
      <c r="A29" s="18">
        <v>26</v>
      </c>
      <c r="B29" s="19" t="s">
        <v>44</v>
      </c>
      <c r="C29" s="20">
        <v>1.5</v>
      </c>
      <c r="D29" s="21" t="s">
        <v>32</v>
      </c>
      <c r="E29" s="21" t="s">
        <v>12</v>
      </c>
      <c r="F29" s="21" t="s">
        <v>22</v>
      </c>
      <c r="G29" s="22">
        <v>375.87973786764701</v>
      </c>
      <c r="H29" s="24">
        <v>442.67589375000006</v>
      </c>
      <c r="I29" s="24">
        <v>522.44267470588261</v>
      </c>
      <c r="J29" s="24">
        <v>602.90019816176482</v>
      </c>
      <c r="K29" s="24">
        <v>619.81668419117659</v>
      </c>
      <c r="L29" s="24">
        <v>727.10129272058839</v>
      </c>
      <c r="M29" s="24">
        <v>857.26273345588254</v>
      </c>
      <c r="N29" s="24">
        <v>752.56593198529424</v>
      </c>
      <c r="O29" s="24">
        <v>702.66014161764713</v>
      </c>
      <c r="P29" s="23">
        <v>554.83502757352937</v>
      </c>
    </row>
    <row r="30" spans="1:16" x14ac:dyDescent="0.3">
      <c r="A30" s="11">
        <v>27</v>
      </c>
      <c r="B30" s="12" t="s">
        <v>44</v>
      </c>
      <c r="C30" s="13">
        <v>1.5</v>
      </c>
      <c r="D30" s="14" t="s">
        <v>45</v>
      </c>
      <c r="E30" s="14" t="s">
        <v>12</v>
      </c>
      <c r="F30" s="14" t="s">
        <v>22</v>
      </c>
      <c r="G30" s="15">
        <v>388.83763455882359</v>
      </c>
      <c r="H30" s="17">
        <v>455.86389044117652</v>
      </c>
      <c r="I30" s="17">
        <v>535.6306713970589</v>
      </c>
      <c r="J30" s="17">
        <v>631.75698970588246</v>
      </c>
      <c r="K30" s="17">
        <v>637.72852279411768</v>
      </c>
      <c r="L30" s="17">
        <v>730.57612764705902</v>
      </c>
      <c r="M30" s="17">
        <v>922.69644485294145</v>
      </c>
      <c r="N30" s="17">
        <v>831.18054705882355</v>
      </c>
      <c r="O30" s="17">
        <v>720.57198022058833</v>
      </c>
      <c r="P30" s="16">
        <v>558.30986250000001</v>
      </c>
    </row>
    <row r="31" spans="1:16" x14ac:dyDescent="0.3">
      <c r="A31" s="18">
        <v>28</v>
      </c>
      <c r="B31" s="19" t="s">
        <v>46</v>
      </c>
      <c r="C31" s="20">
        <v>1.6</v>
      </c>
      <c r="D31" s="21" t="s">
        <v>21</v>
      </c>
      <c r="E31" s="21" t="s">
        <v>12</v>
      </c>
      <c r="F31" s="21" t="s">
        <v>22</v>
      </c>
      <c r="G31" s="22">
        <v>358.24715404411762</v>
      </c>
      <c r="H31" s="24">
        <v>514.36993897058846</v>
      </c>
      <c r="I31" s="24">
        <v>589.87759235294141</v>
      </c>
      <c r="J31" s="24">
        <v>674.59424338235306</v>
      </c>
      <c r="K31" s="24">
        <v>676.12561654411775</v>
      </c>
      <c r="L31" s="24">
        <v>768.17655705882373</v>
      </c>
      <c r="M31" s="24">
        <v>665.63602610294129</v>
      </c>
      <c r="N31" s="24">
        <v>595.69571250000001</v>
      </c>
      <c r="O31" s="24">
        <v>773.37244897058815</v>
      </c>
      <c r="P31" s="23">
        <v>540.20871727941187</v>
      </c>
    </row>
    <row r="32" spans="1:16" x14ac:dyDescent="0.3">
      <c r="A32" s="11">
        <v>29</v>
      </c>
      <c r="B32" s="12" t="s">
        <v>46</v>
      </c>
      <c r="C32" s="13">
        <v>1.6</v>
      </c>
      <c r="D32" s="14" t="s">
        <v>23</v>
      </c>
      <c r="E32" s="14" t="s">
        <v>12</v>
      </c>
      <c r="F32" s="14" t="s">
        <v>22</v>
      </c>
      <c r="G32" s="15">
        <v>358.24715404411762</v>
      </c>
      <c r="H32" s="17">
        <v>514.36993897058846</v>
      </c>
      <c r="I32" s="17">
        <v>589.87759235294141</v>
      </c>
      <c r="J32" s="17">
        <v>674.59424338235317</v>
      </c>
      <c r="K32" s="17">
        <v>674.27128566176498</v>
      </c>
      <c r="L32" s="17">
        <v>766.4105276470591</v>
      </c>
      <c r="M32" s="17">
        <v>665.63602610294129</v>
      </c>
      <c r="N32" s="17">
        <v>595.69571250000013</v>
      </c>
      <c r="O32" s="17">
        <v>771.5181180882355</v>
      </c>
      <c r="P32" s="16">
        <v>538.44268786764712</v>
      </c>
    </row>
    <row r="33" spans="1:16" x14ac:dyDescent="0.3">
      <c r="A33" s="18">
        <v>30</v>
      </c>
      <c r="B33" s="19" t="s">
        <v>47</v>
      </c>
      <c r="C33" s="20">
        <v>1.5</v>
      </c>
      <c r="D33" s="21" t="s">
        <v>21</v>
      </c>
      <c r="E33" s="21" t="s">
        <v>12</v>
      </c>
      <c r="F33" s="21" t="s">
        <v>22</v>
      </c>
      <c r="G33" s="22">
        <v>375.87973786764701</v>
      </c>
      <c r="H33" s="24">
        <v>616.04524632352945</v>
      </c>
      <c r="I33" s="24">
        <v>687.55634382352957</v>
      </c>
      <c r="J33" s="24">
        <v>776.26955073529439</v>
      </c>
      <c r="K33" s="24">
        <v>773.80436801470591</v>
      </c>
      <c r="L33" s="24">
        <v>869.85186441176484</v>
      </c>
      <c r="M33" s="24">
        <v>763.31477757352945</v>
      </c>
      <c r="N33" s="24">
        <v>697.37101985294134</v>
      </c>
      <c r="O33" s="24">
        <v>871.05120044117655</v>
      </c>
      <c r="P33" s="23">
        <v>557.9563511029412</v>
      </c>
    </row>
    <row r="34" spans="1:16" x14ac:dyDescent="0.3">
      <c r="A34" s="11">
        <v>31</v>
      </c>
      <c r="B34" s="12" t="s">
        <v>47</v>
      </c>
      <c r="C34" s="13">
        <v>1.5</v>
      </c>
      <c r="D34" s="14" t="s">
        <v>32</v>
      </c>
      <c r="E34" s="14" t="s">
        <v>12</v>
      </c>
      <c r="F34" s="14" t="s">
        <v>22</v>
      </c>
      <c r="G34" s="15">
        <v>375.87973786764701</v>
      </c>
      <c r="H34" s="17">
        <v>616.04524632352945</v>
      </c>
      <c r="I34" s="17">
        <v>687.55634382352957</v>
      </c>
      <c r="J34" s="17">
        <v>776.26955073529439</v>
      </c>
      <c r="K34" s="17">
        <v>771.95003713235303</v>
      </c>
      <c r="L34" s="17">
        <v>868.08583500000009</v>
      </c>
      <c r="M34" s="17">
        <v>763.31477757352945</v>
      </c>
      <c r="N34" s="17">
        <v>697.37101985294134</v>
      </c>
      <c r="O34" s="17">
        <v>869.19686955882366</v>
      </c>
      <c r="P34" s="16">
        <v>556.19032169117645</v>
      </c>
    </row>
    <row r="35" spans="1:16" x14ac:dyDescent="0.3">
      <c r="A35" s="18">
        <v>32</v>
      </c>
      <c r="B35" s="19" t="s">
        <v>47</v>
      </c>
      <c r="C35" s="20">
        <v>1.5</v>
      </c>
      <c r="D35" s="21" t="s">
        <v>21</v>
      </c>
      <c r="E35" s="21" t="s">
        <v>12</v>
      </c>
      <c r="F35" s="21" t="s">
        <v>26</v>
      </c>
      <c r="G35" s="22">
        <v>418.19750955882347</v>
      </c>
      <c r="H35" s="24">
        <v>744.58700625000006</v>
      </c>
      <c r="I35" s="24">
        <v>813.91137286764717</v>
      </c>
      <c r="J35" s="24">
        <v>904.81131066176499</v>
      </c>
      <c r="K35" s="24">
        <v>900.15939705882374</v>
      </c>
      <c r="L35" s="24">
        <v>1105.9297140441176</v>
      </c>
      <c r="M35" s="24">
        <v>992.08513014705898</v>
      </c>
      <c r="N35" s="24">
        <v>825.91277977941195</v>
      </c>
      <c r="O35" s="24">
        <v>997.40622948529426</v>
      </c>
      <c r="P35" s="23">
        <v>757.98886654411763</v>
      </c>
    </row>
    <row r="36" spans="1:16" x14ac:dyDescent="0.3">
      <c r="A36" s="11">
        <v>33</v>
      </c>
      <c r="B36" s="12" t="s">
        <v>47</v>
      </c>
      <c r="C36" s="13">
        <v>1.5</v>
      </c>
      <c r="D36" s="14" t="s">
        <v>32</v>
      </c>
      <c r="E36" s="14" t="s">
        <v>12</v>
      </c>
      <c r="F36" s="14" t="s">
        <v>26</v>
      </c>
      <c r="G36" s="15">
        <v>418.19750955882347</v>
      </c>
      <c r="H36" s="17">
        <v>744.58700625000006</v>
      </c>
      <c r="I36" s="17">
        <v>813.91137286764729</v>
      </c>
      <c r="J36" s="17">
        <v>904.81131066176499</v>
      </c>
      <c r="K36" s="17">
        <v>900.15939705882374</v>
      </c>
      <c r="L36" s="17">
        <v>1105.9297140441176</v>
      </c>
      <c r="M36" s="17">
        <v>992.08513014705898</v>
      </c>
      <c r="N36" s="17">
        <v>825.91277977941195</v>
      </c>
      <c r="O36" s="17">
        <v>997.40622948529426</v>
      </c>
      <c r="P36" s="16">
        <v>757.98886654411763</v>
      </c>
    </row>
    <row r="37" spans="1:16" x14ac:dyDescent="0.3">
      <c r="A37" s="18">
        <v>34</v>
      </c>
      <c r="B37" s="19" t="s">
        <v>48</v>
      </c>
      <c r="C37" s="20">
        <v>2</v>
      </c>
      <c r="D37" s="21" t="s">
        <v>21</v>
      </c>
      <c r="E37" s="21" t="s">
        <v>12</v>
      </c>
      <c r="F37" s="21" t="s">
        <v>22</v>
      </c>
      <c r="G37" s="22">
        <v>366.8108305147058</v>
      </c>
      <c r="H37" s="24">
        <v>558.08028419117647</v>
      </c>
      <c r="I37" s="24">
        <v>631.9252438235294</v>
      </c>
      <c r="J37" s="24">
        <v>728.3035919117649</v>
      </c>
      <c r="K37" s="24">
        <v>736.04061727941189</v>
      </c>
      <c r="L37" s="24">
        <v>764.95225632352958</v>
      </c>
      <c r="M37" s="24">
        <v>655.41531727941174</v>
      </c>
      <c r="N37" s="24">
        <v>649.40506102941185</v>
      </c>
      <c r="O37" s="24">
        <v>818.88407470588243</v>
      </c>
      <c r="P37" s="23">
        <v>543.23212610294127</v>
      </c>
    </row>
    <row r="38" spans="1:16" x14ac:dyDescent="0.3">
      <c r="A38" s="11">
        <v>35</v>
      </c>
      <c r="B38" s="12" t="s">
        <v>48</v>
      </c>
      <c r="C38" s="13">
        <v>2</v>
      </c>
      <c r="D38" s="14" t="s">
        <v>23</v>
      </c>
      <c r="E38" s="14" t="s">
        <v>12</v>
      </c>
      <c r="F38" s="14" t="s">
        <v>22</v>
      </c>
      <c r="G38" s="15">
        <v>366.8108305147058</v>
      </c>
      <c r="H38" s="17">
        <v>558.08028419117647</v>
      </c>
      <c r="I38" s="17">
        <v>631.9252438235294</v>
      </c>
      <c r="J38" s="17">
        <v>728.3035919117649</v>
      </c>
      <c r="K38" s="17">
        <v>735.11345183823539</v>
      </c>
      <c r="L38" s="17">
        <v>764.06924161764721</v>
      </c>
      <c r="M38" s="17">
        <v>655.41531727941174</v>
      </c>
      <c r="N38" s="17">
        <v>649.40506102941185</v>
      </c>
      <c r="O38" s="17">
        <v>817.95690926470593</v>
      </c>
      <c r="P38" s="16">
        <v>542.34911139705878</v>
      </c>
    </row>
    <row r="39" spans="1:16" x14ac:dyDescent="0.3">
      <c r="A39" s="18">
        <v>36</v>
      </c>
      <c r="B39" s="19" t="s">
        <v>49</v>
      </c>
      <c r="C39" s="20">
        <v>2</v>
      </c>
      <c r="D39" s="21" t="s">
        <v>21</v>
      </c>
      <c r="E39" s="21" t="s">
        <v>12</v>
      </c>
      <c r="F39" s="21" t="s">
        <v>22</v>
      </c>
      <c r="G39" s="22">
        <v>366.8108305147058</v>
      </c>
      <c r="H39" s="24">
        <v>427.33890882352944</v>
      </c>
      <c r="I39" s="24">
        <v>507.40964823529424</v>
      </c>
      <c r="J39" s="24">
        <v>598.64451948529427</v>
      </c>
      <c r="K39" s="24">
        <v>614.41011727941179</v>
      </c>
      <c r="L39" s="24">
        <v>718.33442470588238</v>
      </c>
      <c r="M39" s="24">
        <v>609.33544963235295</v>
      </c>
      <c r="N39" s="24">
        <v>519.74598860294122</v>
      </c>
      <c r="O39" s="24">
        <v>697.25357470588244</v>
      </c>
      <c r="P39" s="23">
        <v>544.9981555147059</v>
      </c>
    </row>
    <row r="40" spans="1:16" x14ac:dyDescent="0.3">
      <c r="A40" s="11">
        <v>37</v>
      </c>
      <c r="B40" s="12" t="s">
        <v>49</v>
      </c>
      <c r="C40" s="13">
        <v>2</v>
      </c>
      <c r="D40" s="14" t="s">
        <v>23</v>
      </c>
      <c r="E40" s="14" t="s">
        <v>12</v>
      </c>
      <c r="F40" s="14" t="s">
        <v>22</v>
      </c>
      <c r="G40" s="15">
        <v>366.8108305147058</v>
      </c>
      <c r="H40" s="17">
        <v>427.33890882352944</v>
      </c>
      <c r="I40" s="17">
        <v>507.40964823529424</v>
      </c>
      <c r="J40" s="17">
        <v>598.64451948529427</v>
      </c>
      <c r="K40" s="17">
        <v>612.55578639705891</v>
      </c>
      <c r="L40" s="17">
        <v>716.56839529411786</v>
      </c>
      <c r="M40" s="17">
        <v>609.33544963235295</v>
      </c>
      <c r="N40" s="17">
        <v>519.74598860294122</v>
      </c>
      <c r="O40" s="17">
        <v>695.39924382352956</v>
      </c>
      <c r="P40" s="16">
        <v>543.23212610294127</v>
      </c>
    </row>
    <row r="41" spans="1:16" x14ac:dyDescent="0.3">
      <c r="A41" s="18">
        <v>38</v>
      </c>
      <c r="B41" s="19" t="s">
        <v>50</v>
      </c>
      <c r="C41" s="20">
        <v>1.6</v>
      </c>
      <c r="D41" s="21" t="s">
        <v>45</v>
      </c>
      <c r="E41" s="21" t="s">
        <v>12</v>
      </c>
      <c r="F41" s="21" t="s">
        <v>22</v>
      </c>
      <c r="G41" s="22">
        <v>397.28892904411759</v>
      </c>
      <c r="H41" s="24">
        <v>464.10688455882354</v>
      </c>
      <c r="I41" s="24">
        <v>543.90002029411778</v>
      </c>
      <c r="J41" s="24">
        <v>638.51181727941184</v>
      </c>
      <c r="K41" s="24">
        <v>651.99789375</v>
      </c>
      <c r="L41" s="24">
        <v>766.34860411764726</v>
      </c>
      <c r="M41" s="24">
        <v>806.65791286764738</v>
      </c>
      <c r="N41" s="24">
        <v>700.98422757352955</v>
      </c>
      <c r="O41" s="24">
        <v>734.84135117647077</v>
      </c>
      <c r="P41" s="23">
        <v>574.17042463235305</v>
      </c>
    </row>
    <row r="42" spans="1:16" x14ac:dyDescent="0.3">
      <c r="A42" s="11">
        <v>39</v>
      </c>
      <c r="B42" s="12" t="s">
        <v>50</v>
      </c>
      <c r="C42" s="13">
        <v>2</v>
      </c>
      <c r="D42" s="14" t="s">
        <v>21</v>
      </c>
      <c r="E42" s="14" t="s">
        <v>12</v>
      </c>
      <c r="F42" s="14" t="s">
        <v>22</v>
      </c>
      <c r="G42" s="15">
        <v>390.9785536764706</v>
      </c>
      <c r="H42" s="17">
        <v>457.50888419117655</v>
      </c>
      <c r="I42" s="17">
        <v>537.30201992647073</v>
      </c>
      <c r="J42" s="17">
        <v>631.9138169117648</v>
      </c>
      <c r="K42" s="17">
        <v>647.25422426470595</v>
      </c>
      <c r="L42" s="17">
        <v>761.51663316176484</v>
      </c>
      <c r="M42" s="17">
        <v>651.62042426470589</v>
      </c>
      <c r="N42" s="17">
        <v>553.01528602941175</v>
      </c>
      <c r="O42" s="17">
        <v>730.09768169117649</v>
      </c>
      <c r="P42" s="16">
        <v>569.33845367647064</v>
      </c>
    </row>
    <row r="43" spans="1:16" x14ac:dyDescent="0.3">
      <c r="A43" s="18">
        <v>40</v>
      </c>
      <c r="B43" s="19" t="s">
        <v>50</v>
      </c>
      <c r="C43" s="20">
        <v>2</v>
      </c>
      <c r="D43" s="21" t="s">
        <v>23</v>
      </c>
      <c r="E43" s="21" t="s">
        <v>12</v>
      </c>
      <c r="F43" s="21" t="s">
        <v>22</v>
      </c>
      <c r="G43" s="22">
        <v>390.9785536764706</v>
      </c>
      <c r="H43" s="24">
        <v>457.50888419117655</v>
      </c>
      <c r="I43" s="24">
        <v>537.30201992647073</v>
      </c>
      <c r="J43" s="24">
        <v>631.9138169117648</v>
      </c>
      <c r="K43" s="24">
        <v>645.39989338235307</v>
      </c>
      <c r="L43" s="24">
        <v>759.7506037500001</v>
      </c>
      <c r="M43" s="24">
        <v>651.62042426470589</v>
      </c>
      <c r="N43" s="24">
        <v>553.01528602941175</v>
      </c>
      <c r="O43" s="24">
        <v>728.24335080882372</v>
      </c>
      <c r="P43" s="23">
        <v>567.57242426470589</v>
      </c>
    </row>
    <row r="44" spans="1:16" x14ac:dyDescent="0.3">
      <c r="A44" s="11">
        <v>41</v>
      </c>
      <c r="B44" s="12" t="s">
        <v>50</v>
      </c>
      <c r="C44" s="13">
        <v>2</v>
      </c>
      <c r="D44" s="14" t="s">
        <v>21</v>
      </c>
      <c r="E44" s="14" t="s">
        <v>12</v>
      </c>
      <c r="F44" s="14" t="s">
        <v>26</v>
      </c>
      <c r="G44" s="15">
        <v>433.29632536764711</v>
      </c>
      <c r="H44" s="17">
        <v>586.05064411764715</v>
      </c>
      <c r="I44" s="17">
        <v>663.65704897058822</v>
      </c>
      <c r="J44" s="17">
        <v>760.4555768382354</v>
      </c>
      <c r="K44" s="17">
        <v>773.60925330882367</v>
      </c>
      <c r="L44" s="17">
        <v>997.59448279411799</v>
      </c>
      <c r="M44" s="17">
        <v>880.3907768382353</v>
      </c>
      <c r="N44" s="17">
        <v>681.55704595588247</v>
      </c>
      <c r="O44" s="17">
        <v>856.4527107352942</v>
      </c>
      <c r="P44" s="16">
        <v>769.37096911764718</v>
      </c>
    </row>
    <row r="45" spans="1:16" x14ac:dyDescent="0.3">
      <c r="A45" s="18">
        <v>42</v>
      </c>
      <c r="B45" s="19" t="s">
        <v>50</v>
      </c>
      <c r="C45" s="20">
        <v>2</v>
      </c>
      <c r="D45" s="21" t="s">
        <v>23</v>
      </c>
      <c r="E45" s="21" t="s">
        <v>12</v>
      </c>
      <c r="F45" s="21" t="s">
        <v>26</v>
      </c>
      <c r="G45" s="22">
        <v>433.29632536764711</v>
      </c>
      <c r="H45" s="24">
        <v>586.05064411764715</v>
      </c>
      <c r="I45" s="24">
        <v>663.65704897058822</v>
      </c>
      <c r="J45" s="24">
        <v>760.4555768382354</v>
      </c>
      <c r="K45" s="24">
        <v>773.60925330882367</v>
      </c>
      <c r="L45" s="24">
        <v>997.59448279411799</v>
      </c>
      <c r="M45" s="24">
        <v>880.3907768382353</v>
      </c>
      <c r="N45" s="24">
        <v>681.55704595588247</v>
      </c>
      <c r="O45" s="24">
        <v>856.4527107352942</v>
      </c>
      <c r="P45" s="23">
        <v>769.37096911764718</v>
      </c>
    </row>
    <row r="46" spans="1:16" x14ac:dyDescent="0.3">
      <c r="A46" s="11">
        <v>43</v>
      </c>
      <c r="B46" s="12" t="s">
        <v>51</v>
      </c>
      <c r="C46" s="13">
        <v>2.4</v>
      </c>
      <c r="D46" s="14" t="s">
        <v>21</v>
      </c>
      <c r="E46" s="14" t="s">
        <v>12</v>
      </c>
      <c r="F46" s="14" t="s">
        <v>22</v>
      </c>
      <c r="G46" s="15">
        <v>383.93818345588238</v>
      </c>
      <c r="H46" s="17">
        <v>530.72766727941189</v>
      </c>
      <c r="I46" s="17">
        <v>606.71263500000009</v>
      </c>
      <c r="J46" s="17">
        <v>700.95097500000008</v>
      </c>
      <c r="K46" s="17">
        <v>712.68233933823535</v>
      </c>
      <c r="L46" s="17">
        <v>753.76904382352961</v>
      </c>
      <c r="M46" s="17">
        <v>643.92020845588252</v>
      </c>
      <c r="N46" s="17">
        <v>622.05244411764716</v>
      </c>
      <c r="O46" s="17">
        <v>795.525796764706</v>
      </c>
      <c r="P46" s="16">
        <v>562.58570845588235</v>
      </c>
    </row>
    <row r="47" spans="1:16" x14ac:dyDescent="0.3">
      <c r="A47" s="18">
        <v>44</v>
      </c>
      <c r="B47" s="19" t="s">
        <v>51</v>
      </c>
      <c r="C47" s="20">
        <v>2.4</v>
      </c>
      <c r="D47" s="21" t="s">
        <v>23</v>
      </c>
      <c r="E47" s="21" t="s">
        <v>12</v>
      </c>
      <c r="F47" s="21" t="s">
        <v>22</v>
      </c>
      <c r="G47" s="22">
        <v>383.93818345588238</v>
      </c>
      <c r="H47" s="24">
        <v>530.72766727941189</v>
      </c>
      <c r="I47" s="24">
        <v>606.71263500000009</v>
      </c>
      <c r="J47" s="24">
        <v>700.95097500000008</v>
      </c>
      <c r="K47" s="24">
        <v>715.46383566176473</v>
      </c>
      <c r="L47" s="24">
        <v>756.41808794117662</v>
      </c>
      <c r="M47" s="24">
        <v>643.92020845588252</v>
      </c>
      <c r="N47" s="24">
        <v>622.05244411764716</v>
      </c>
      <c r="O47" s="24">
        <v>798.3072930882355</v>
      </c>
      <c r="P47" s="23">
        <v>565.23475257352948</v>
      </c>
    </row>
    <row r="48" spans="1:16" x14ac:dyDescent="0.3">
      <c r="A48" s="11">
        <v>45</v>
      </c>
      <c r="B48" s="12" t="s">
        <v>51</v>
      </c>
      <c r="C48" s="13">
        <v>3.5</v>
      </c>
      <c r="D48" s="14" t="s">
        <v>23</v>
      </c>
      <c r="E48" s="14" t="s">
        <v>12</v>
      </c>
      <c r="F48" s="14" t="s">
        <v>22</v>
      </c>
      <c r="G48" s="15">
        <v>417.25355294117645</v>
      </c>
      <c r="H48" s="17">
        <v>478.89484411764715</v>
      </c>
      <c r="I48" s="17">
        <v>558.95914125000013</v>
      </c>
      <c r="J48" s="17">
        <v>649.11815183823546</v>
      </c>
      <c r="K48" s="17">
        <v>681.61782352941191</v>
      </c>
      <c r="L48" s="17">
        <v>703.42711036764717</v>
      </c>
      <c r="M48" s="17">
        <v>582.44921470588247</v>
      </c>
      <c r="N48" s="17">
        <v>570.21962095588242</v>
      </c>
      <c r="O48" s="17">
        <v>764.46128095588244</v>
      </c>
      <c r="P48" s="16">
        <v>612.31306764705892</v>
      </c>
    </row>
    <row r="49" spans="1:16" x14ac:dyDescent="0.3">
      <c r="A49" s="18">
        <v>46</v>
      </c>
      <c r="B49" s="19" t="s">
        <v>52</v>
      </c>
      <c r="C49" s="20">
        <v>3.3</v>
      </c>
      <c r="D49" s="21" t="s">
        <v>23</v>
      </c>
      <c r="E49" s="21" t="s">
        <v>12</v>
      </c>
      <c r="F49" s="21" t="s">
        <v>22</v>
      </c>
      <c r="G49" s="22">
        <v>417.25355294117645</v>
      </c>
      <c r="H49" s="24">
        <v>485.68383529411767</v>
      </c>
      <c r="I49" s="24">
        <v>565.42484713235297</v>
      </c>
      <c r="J49" s="24">
        <v>656.9894459558825</v>
      </c>
      <c r="K49" s="24">
        <v>690.96862500000009</v>
      </c>
      <c r="L49" s="24">
        <v>792.48251183823538</v>
      </c>
      <c r="M49" s="24">
        <v>665.58195000000012</v>
      </c>
      <c r="N49" s="24">
        <v>578.09091507352946</v>
      </c>
      <c r="O49" s="24">
        <v>788.21545742647072</v>
      </c>
      <c r="P49" s="23">
        <v>627.79659705882364</v>
      </c>
    </row>
    <row r="50" spans="1:16" x14ac:dyDescent="0.3">
      <c r="A50" s="11">
        <v>47</v>
      </c>
      <c r="B50" s="12" t="s">
        <v>106</v>
      </c>
      <c r="C50" s="13">
        <v>3.3</v>
      </c>
      <c r="D50" s="14" t="s">
        <v>23</v>
      </c>
      <c r="E50" s="14" t="s">
        <v>12</v>
      </c>
      <c r="F50" s="14" t="s">
        <v>22</v>
      </c>
      <c r="G50" s="15">
        <v>417.25355294117645</v>
      </c>
      <c r="H50" s="17">
        <v>485.68383529411767</v>
      </c>
      <c r="I50" s="17">
        <v>565.42484713235297</v>
      </c>
      <c r="J50" s="17">
        <v>656.9894459558825</v>
      </c>
      <c r="K50" s="17">
        <v>690.96862500000009</v>
      </c>
      <c r="L50" s="17">
        <v>806.88588683823559</v>
      </c>
      <c r="M50" s="17">
        <v>679.29945000000009</v>
      </c>
      <c r="N50" s="17">
        <v>578.09091507352946</v>
      </c>
      <c r="O50" s="17">
        <v>788.21545742647072</v>
      </c>
      <c r="P50" s="16">
        <v>627.79659705882364</v>
      </c>
    </row>
    <row r="51" spans="1:16" x14ac:dyDescent="0.3">
      <c r="A51" s="18">
        <v>48</v>
      </c>
      <c r="B51" s="19" t="s">
        <v>52</v>
      </c>
      <c r="C51" s="20">
        <v>2.4</v>
      </c>
      <c r="D51" s="21" t="s">
        <v>21</v>
      </c>
      <c r="E51" s="21" t="s">
        <v>12</v>
      </c>
      <c r="F51" s="21" t="s">
        <v>22</v>
      </c>
      <c r="G51" s="22">
        <v>383.93818345588238</v>
      </c>
      <c r="H51" s="24">
        <v>537.51665845588252</v>
      </c>
      <c r="I51" s="24">
        <v>613.17834088235304</v>
      </c>
      <c r="J51" s="24">
        <v>703.01718970588252</v>
      </c>
      <c r="K51" s="24">
        <v>713.72299742647078</v>
      </c>
      <c r="L51" s="24">
        <v>825.77202617647072</v>
      </c>
      <c r="M51" s="24">
        <v>713.33544375000008</v>
      </c>
      <c r="N51" s="24">
        <v>624.11865882352959</v>
      </c>
      <c r="O51" s="24">
        <v>810.96982985294142</v>
      </c>
      <c r="P51" s="23">
        <v>575.42019375000007</v>
      </c>
    </row>
    <row r="52" spans="1:16" x14ac:dyDescent="0.3">
      <c r="A52" s="11">
        <v>49</v>
      </c>
      <c r="B52" s="12" t="s">
        <v>52</v>
      </c>
      <c r="C52" s="13">
        <v>2.4</v>
      </c>
      <c r="D52" s="14" t="s">
        <v>23</v>
      </c>
      <c r="E52" s="14" t="s">
        <v>12</v>
      </c>
      <c r="F52" s="14" t="s">
        <v>22</v>
      </c>
      <c r="G52" s="15">
        <v>383.93818345588238</v>
      </c>
      <c r="H52" s="17">
        <v>537.51665845588252</v>
      </c>
      <c r="I52" s="17">
        <v>613.17834088235304</v>
      </c>
      <c r="J52" s="17">
        <v>703.01718970588252</v>
      </c>
      <c r="K52" s="17">
        <v>720.21315551470605</v>
      </c>
      <c r="L52" s="17">
        <v>831.95312911764722</v>
      </c>
      <c r="M52" s="17">
        <v>713.33544375000008</v>
      </c>
      <c r="N52" s="17">
        <v>624.11865882352959</v>
      </c>
      <c r="O52" s="17">
        <v>817.45998794117668</v>
      </c>
      <c r="P52" s="16">
        <v>581.60129669117657</v>
      </c>
    </row>
    <row r="53" spans="1:16" x14ac:dyDescent="0.3">
      <c r="A53" s="18">
        <v>50</v>
      </c>
      <c r="B53" s="19" t="s">
        <v>106</v>
      </c>
      <c r="C53" s="20">
        <v>2.4</v>
      </c>
      <c r="D53" s="21" t="s">
        <v>21</v>
      </c>
      <c r="E53" s="21" t="s">
        <v>12</v>
      </c>
      <c r="F53" s="21" t="s">
        <v>22</v>
      </c>
      <c r="G53" s="22">
        <v>383.93818345588238</v>
      </c>
      <c r="H53" s="24">
        <v>537.51665845588252</v>
      </c>
      <c r="I53" s="24">
        <v>613.17834088235304</v>
      </c>
      <c r="J53" s="24">
        <v>703.01718970588252</v>
      </c>
      <c r="K53" s="24">
        <v>713.72299742647078</v>
      </c>
      <c r="L53" s="24">
        <v>840.1754011764707</v>
      </c>
      <c r="M53" s="24">
        <v>727.05294375000005</v>
      </c>
      <c r="N53" s="24">
        <v>624.11865882352959</v>
      </c>
      <c r="O53" s="24">
        <v>810.96982985294142</v>
      </c>
      <c r="P53" s="23">
        <v>575.42019375000007</v>
      </c>
    </row>
    <row r="54" spans="1:16" x14ac:dyDescent="0.3">
      <c r="A54" s="11">
        <v>51</v>
      </c>
      <c r="B54" s="12" t="s">
        <v>106</v>
      </c>
      <c r="C54" s="13">
        <v>2.4</v>
      </c>
      <c r="D54" s="14" t="s">
        <v>23</v>
      </c>
      <c r="E54" s="14" t="s">
        <v>12</v>
      </c>
      <c r="F54" s="14" t="s">
        <v>22</v>
      </c>
      <c r="G54" s="15">
        <v>383.93818345588238</v>
      </c>
      <c r="H54" s="17">
        <v>537.51665845588252</v>
      </c>
      <c r="I54" s="17">
        <v>613.17834088235304</v>
      </c>
      <c r="J54" s="17">
        <v>703.01718970588252</v>
      </c>
      <c r="K54" s="17">
        <v>720.21315551470605</v>
      </c>
      <c r="L54" s="17">
        <v>846.35650411764709</v>
      </c>
      <c r="M54" s="17">
        <v>727.05294375000005</v>
      </c>
      <c r="N54" s="17">
        <v>624.11865882352959</v>
      </c>
      <c r="O54" s="17">
        <v>817.45998794117668</v>
      </c>
      <c r="P54" s="16">
        <v>581.60129669117657</v>
      </c>
    </row>
    <row r="55" spans="1:16" x14ac:dyDescent="0.3">
      <c r="A55" s="18">
        <v>52</v>
      </c>
      <c r="B55" s="19" t="s">
        <v>106</v>
      </c>
      <c r="C55" s="20">
        <v>3.5</v>
      </c>
      <c r="D55" s="21" t="s">
        <v>23</v>
      </c>
      <c r="E55" s="21" t="s">
        <v>12</v>
      </c>
      <c r="F55" s="21" t="s">
        <v>22</v>
      </c>
      <c r="G55" s="22">
        <v>417.25355294117645</v>
      </c>
      <c r="H55" s="24">
        <v>485.68383529411767</v>
      </c>
      <c r="I55" s="24">
        <v>565.42484713235297</v>
      </c>
      <c r="J55" s="24">
        <v>656.9894459558825</v>
      </c>
      <c r="K55" s="24">
        <v>694.67728676470585</v>
      </c>
      <c r="L55" s="24">
        <v>810.41794566176486</v>
      </c>
      <c r="M55" s="24">
        <v>679.29945000000009</v>
      </c>
      <c r="N55" s="24">
        <v>578.09091507352946</v>
      </c>
      <c r="O55" s="24">
        <v>791.9241191911766</v>
      </c>
      <c r="P55" s="23">
        <v>631.3286558823529</v>
      </c>
    </row>
    <row r="56" spans="1:16" x14ac:dyDescent="0.3">
      <c r="A56" s="11">
        <v>53</v>
      </c>
      <c r="B56" s="12" t="s">
        <v>53</v>
      </c>
      <c r="C56" s="13">
        <v>2.5</v>
      </c>
      <c r="D56" s="14" t="s">
        <v>23</v>
      </c>
      <c r="E56" s="14" t="s">
        <v>12</v>
      </c>
      <c r="F56" s="14" t="s">
        <v>22</v>
      </c>
      <c r="G56" s="15">
        <v>429.71968897058827</v>
      </c>
      <c r="H56" s="17">
        <v>512.63410257352939</v>
      </c>
      <c r="I56" s="17">
        <v>591.68813316176488</v>
      </c>
      <c r="J56" s="17">
        <v>687.03903529411775</v>
      </c>
      <c r="K56" s="17">
        <v>714.62065367647074</v>
      </c>
      <c r="L56" s="17">
        <v>829.00405742647081</v>
      </c>
      <c r="M56" s="17">
        <v>706.00653750000015</v>
      </c>
      <c r="N56" s="17">
        <v>608.14050441176482</v>
      </c>
      <c r="O56" s="17">
        <v>797.46411110294127</v>
      </c>
      <c r="P56" s="16">
        <v>621.30466985294129</v>
      </c>
    </row>
    <row r="57" spans="1:16" x14ac:dyDescent="0.3">
      <c r="A57" s="18">
        <v>54</v>
      </c>
      <c r="B57" s="19" t="s">
        <v>53</v>
      </c>
      <c r="C57" s="20">
        <v>3.5</v>
      </c>
      <c r="D57" s="21" t="s">
        <v>23</v>
      </c>
      <c r="E57" s="21" t="s">
        <v>12</v>
      </c>
      <c r="F57" s="21" t="s">
        <v>22</v>
      </c>
      <c r="G57" s="22">
        <v>425.12087757352947</v>
      </c>
      <c r="H57" s="24">
        <v>508.20786617647053</v>
      </c>
      <c r="I57" s="24">
        <v>587.26189676470597</v>
      </c>
      <c r="J57" s="24">
        <v>682.61279889705895</v>
      </c>
      <c r="K57" s="24">
        <v>718.53890624999997</v>
      </c>
      <c r="L57" s="24">
        <v>832.52495338235315</v>
      </c>
      <c r="M57" s="24">
        <v>701.58030110294123</v>
      </c>
      <c r="N57" s="24">
        <v>603.71426801470579</v>
      </c>
      <c r="O57" s="24">
        <v>801.38236367647073</v>
      </c>
      <c r="P57" s="23">
        <v>624.82556580882363</v>
      </c>
    </row>
    <row r="58" spans="1:16" x14ac:dyDescent="0.3">
      <c r="A58" s="11">
        <v>55</v>
      </c>
      <c r="B58" s="12" t="s">
        <v>53</v>
      </c>
      <c r="C58" s="13">
        <v>2.2000000000000002</v>
      </c>
      <c r="D58" s="14" t="s">
        <v>45</v>
      </c>
      <c r="E58" s="14" t="s">
        <v>12</v>
      </c>
      <c r="F58" s="14" t="s">
        <v>35</v>
      </c>
      <c r="G58" s="15">
        <v>524.27609536764703</v>
      </c>
      <c r="H58" s="17">
        <v>603.8540589705882</v>
      </c>
      <c r="I58" s="17">
        <v>682.90808955882358</v>
      </c>
      <c r="J58" s="17">
        <v>806.66944389705895</v>
      </c>
      <c r="K58" s="17">
        <v>832.89818360294123</v>
      </c>
      <c r="L58" s="17">
        <v>853.66101639705892</v>
      </c>
      <c r="M58" s="17">
        <v>733.83316301470586</v>
      </c>
      <c r="N58" s="17">
        <v>742.17428801470589</v>
      </c>
      <c r="O58" s="17">
        <v>929.45914102941174</v>
      </c>
      <c r="P58" s="16">
        <v>712.52462625000021</v>
      </c>
    </row>
    <row r="59" spans="1:16" x14ac:dyDescent="0.3">
      <c r="A59" s="18">
        <v>56</v>
      </c>
      <c r="B59" s="19" t="s">
        <v>54</v>
      </c>
      <c r="C59" s="20">
        <v>2.2000000000000002</v>
      </c>
      <c r="D59" s="21" t="s">
        <v>23</v>
      </c>
      <c r="E59" s="21" t="s">
        <v>12</v>
      </c>
      <c r="F59" s="21" t="s">
        <v>35</v>
      </c>
      <c r="G59" s="22">
        <v>548.55716360294127</v>
      </c>
      <c r="H59" s="24">
        <v>676.69117279411773</v>
      </c>
      <c r="I59" s="24">
        <v>753.43301073529426</v>
      </c>
      <c r="J59" s="24">
        <v>988.51168235294131</v>
      </c>
      <c r="K59" s="24">
        <v>1040.6154650735295</v>
      </c>
      <c r="L59" s="24">
        <v>929.47990963235293</v>
      </c>
      <c r="M59" s="24">
        <v>776.92308419117671</v>
      </c>
      <c r="N59" s="24">
        <v>909.61315147058826</v>
      </c>
      <c r="O59" s="24">
        <v>1123.4589225</v>
      </c>
      <c r="P59" s="23">
        <v>768.59422389705901</v>
      </c>
    </row>
    <row r="60" spans="1:16" x14ac:dyDescent="0.3">
      <c r="A60" s="11">
        <v>57</v>
      </c>
      <c r="B60" s="12" t="s">
        <v>54</v>
      </c>
      <c r="C60" s="13">
        <v>3.3</v>
      </c>
      <c r="D60" s="14" t="s">
        <v>23</v>
      </c>
      <c r="E60" s="14" t="s">
        <v>12</v>
      </c>
      <c r="F60" s="14" t="s">
        <v>22</v>
      </c>
      <c r="G60" s="15">
        <v>417.25355294117645</v>
      </c>
      <c r="H60" s="17">
        <v>485.68383529411767</v>
      </c>
      <c r="I60" s="17">
        <v>565.42484713235297</v>
      </c>
      <c r="J60" s="17">
        <v>656.9894459558825</v>
      </c>
      <c r="K60" s="17">
        <v>712.29343014705887</v>
      </c>
      <c r="L60" s="17">
        <v>810.82402654411794</v>
      </c>
      <c r="M60" s="17">
        <v>663.7078323529413</v>
      </c>
      <c r="N60" s="17">
        <v>578.09091507352946</v>
      </c>
      <c r="O60" s="17">
        <v>809.5402625735295</v>
      </c>
      <c r="P60" s="16">
        <v>648.10593529411767</v>
      </c>
    </row>
    <row r="61" spans="1:16" x14ac:dyDescent="0.3">
      <c r="A61" s="18">
        <v>58</v>
      </c>
      <c r="B61" s="19" t="s">
        <v>55</v>
      </c>
      <c r="C61" s="20">
        <v>3.5</v>
      </c>
      <c r="D61" s="21" t="s">
        <v>23</v>
      </c>
      <c r="E61" s="21" t="s">
        <v>12</v>
      </c>
      <c r="F61" s="21" t="s">
        <v>22</v>
      </c>
      <c r="G61" s="22">
        <v>425.12087757352947</v>
      </c>
      <c r="H61" s="24">
        <v>508.20786617647053</v>
      </c>
      <c r="I61" s="24">
        <v>587.26189676470597</v>
      </c>
      <c r="J61" s="24">
        <v>682.61279889705895</v>
      </c>
      <c r="K61" s="24">
        <v>718.53890624999997</v>
      </c>
      <c r="L61" s="24">
        <v>832.52495338235315</v>
      </c>
      <c r="M61" s="24">
        <v>701.58030110294123</v>
      </c>
      <c r="N61" s="24">
        <v>603.71426801470579</v>
      </c>
      <c r="O61" s="24">
        <v>801.38236367647073</v>
      </c>
      <c r="P61" s="23">
        <v>624.82556580882363</v>
      </c>
    </row>
    <row r="62" spans="1:16" x14ac:dyDescent="0.3">
      <c r="A62" s="11">
        <v>59</v>
      </c>
      <c r="B62" s="12" t="s">
        <v>56</v>
      </c>
      <c r="C62" s="13">
        <v>3.8</v>
      </c>
      <c r="D62" s="14" t="s">
        <v>23</v>
      </c>
      <c r="E62" s="14" t="s">
        <v>12</v>
      </c>
      <c r="F62" s="14" t="s">
        <v>22</v>
      </c>
      <c r="G62" s="29">
        <v>417.25355294117645</v>
      </c>
      <c r="H62" s="31">
        <v>487.07361066176475</v>
      </c>
      <c r="I62" s="31">
        <v>566.7484427205884</v>
      </c>
      <c r="J62" s="31">
        <v>649.57321102941182</v>
      </c>
      <c r="K62" s="31">
        <v>679.26971691176482</v>
      </c>
      <c r="L62" s="31">
        <v>790.41652764705896</v>
      </c>
      <c r="M62" s="31">
        <v>667.81917794117658</v>
      </c>
      <c r="N62" s="31">
        <v>570.67468014705889</v>
      </c>
      <c r="O62" s="31">
        <v>762.11317433823547</v>
      </c>
      <c r="P62" s="30">
        <v>609.66402352941191</v>
      </c>
    </row>
  </sheetData>
  <mergeCells count="2">
    <mergeCell ref="A1:F1"/>
    <mergeCell ref="M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F15F-7C10-43FD-9C63-79688232FB63}">
  <dimension ref="A1:O9"/>
  <sheetViews>
    <sheetView workbookViewId="0">
      <selection activeCell="I15" sqref="I15"/>
    </sheetView>
  </sheetViews>
  <sheetFormatPr baseColWidth="10" defaultRowHeight="14.4" x14ac:dyDescent="0.3"/>
  <sheetData>
    <row r="1" spans="1:15" ht="18" x14ac:dyDescent="0.35">
      <c r="A1" s="211" t="s">
        <v>57</v>
      </c>
      <c r="B1" s="211"/>
      <c r="C1" s="211"/>
      <c r="D1" s="211"/>
      <c r="E1" s="211"/>
      <c r="F1" s="211"/>
      <c r="G1" s="1" t="s">
        <v>1</v>
      </c>
      <c r="H1" s="2">
        <v>0.25</v>
      </c>
      <c r="M1" s="207" t="s">
        <v>2</v>
      </c>
      <c r="N1" s="207"/>
      <c r="O1" s="3">
        <v>3.4</v>
      </c>
    </row>
    <row r="3" spans="1:15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97</v>
      </c>
      <c r="H3" s="40" t="s">
        <v>98</v>
      </c>
      <c r="I3" s="39" t="s">
        <v>99</v>
      </c>
      <c r="J3" s="39" t="s">
        <v>100</v>
      </c>
      <c r="K3" s="39" t="s">
        <v>101</v>
      </c>
      <c r="L3" s="41" t="s">
        <v>102</v>
      </c>
      <c r="M3" s="7" t="s">
        <v>103</v>
      </c>
    </row>
    <row r="4" spans="1:15" x14ac:dyDescent="0.3">
      <c r="A4" s="11">
        <v>1</v>
      </c>
      <c r="B4" s="12" t="s">
        <v>60</v>
      </c>
      <c r="C4" s="12">
        <v>1.6</v>
      </c>
      <c r="D4" s="14" t="s">
        <v>45</v>
      </c>
      <c r="E4" s="14" t="s">
        <v>13</v>
      </c>
      <c r="F4" s="14" t="s">
        <v>61</v>
      </c>
      <c r="G4" s="15">
        <v>493.42690852941189</v>
      </c>
      <c r="H4" s="17">
        <v>678.38347500000032</v>
      </c>
      <c r="I4" s="17">
        <v>777.52050044117664</v>
      </c>
      <c r="J4" s="17">
        <v>603.11145992647062</v>
      </c>
      <c r="K4" s="17">
        <v>881.19968205882378</v>
      </c>
      <c r="L4" s="17">
        <v>1070.7935492647061</v>
      </c>
      <c r="M4" s="16">
        <v>772.59300044117663</v>
      </c>
    </row>
    <row r="5" spans="1:15" x14ac:dyDescent="0.3">
      <c r="A5" s="18">
        <v>2</v>
      </c>
      <c r="B5" s="19" t="s">
        <v>62</v>
      </c>
      <c r="C5" s="19">
        <v>1.6</v>
      </c>
      <c r="D5" s="21" t="s">
        <v>45</v>
      </c>
      <c r="E5" s="21" t="s">
        <v>13</v>
      </c>
      <c r="F5" s="21" t="s">
        <v>61</v>
      </c>
      <c r="G5" s="22">
        <v>480.07616294117656</v>
      </c>
      <c r="H5" s="24">
        <v>680.54163860294125</v>
      </c>
      <c r="I5" s="24">
        <v>778.9401445588237</v>
      </c>
      <c r="J5" s="24">
        <v>589.7607143382354</v>
      </c>
      <c r="K5" s="24">
        <v>862.89248095588255</v>
      </c>
      <c r="L5" s="24">
        <v>1052.7223698529415</v>
      </c>
      <c r="M5" s="23">
        <v>759.24225485294119</v>
      </c>
    </row>
    <row r="6" spans="1:15" x14ac:dyDescent="0.3">
      <c r="A6" s="11">
        <v>3</v>
      </c>
      <c r="B6" s="12" t="s">
        <v>63</v>
      </c>
      <c r="C6" s="12">
        <v>1.6</v>
      </c>
      <c r="D6" s="14" t="s">
        <v>45</v>
      </c>
      <c r="E6" s="14" t="s">
        <v>13</v>
      </c>
      <c r="F6" s="14" t="s">
        <v>61</v>
      </c>
      <c r="G6" s="15">
        <v>480.07616294117656</v>
      </c>
      <c r="H6" s="17">
        <v>718.10247022058843</v>
      </c>
      <c r="I6" s="17">
        <v>814.71236514705902</v>
      </c>
      <c r="J6" s="17">
        <v>589.7607143382354</v>
      </c>
      <c r="K6" s="17">
        <v>979.30154161764733</v>
      </c>
      <c r="L6" s="17">
        <v>1154.7575338235297</v>
      </c>
      <c r="M6" s="16">
        <v>750.83215191176464</v>
      </c>
    </row>
    <row r="7" spans="1:15" x14ac:dyDescent="0.3">
      <c r="A7" s="18">
        <v>4</v>
      </c>
      <c r="B7" s="19" t="s">
        <v>64</v>
      </c>
      <c r="C7" s="19"/>
      <c r="D7" s="21" t="s">
        <v>65</v>
      </c>
      <c r="E7" s="21" t="s">
        <v>13</v>
      </c>
      <c r="F7" s="21" t="s">
        <v>104</v>
      </c>
      <c r="G7" s="22">
        <v>495.20133352941184</v>
      </c>
      <c r="H7" s="24">
        <v>489.8846569852941</v>
      </c>
      <c r="I7" s="24">
        <v>665.64876000000015</v>
      </c>
      <c r="J7" s="24">
        <v>652.21553933823532</v>
      </c>
      <c r="K7" s="24">
        <v>665.64876000000015</v>
      </c>
      <c r="L7" s="24">
        <v>652.21553933823532</v>
      </c>
      <c r="M7" s="23">
        <v>665.64876000000015</v>
      </c>
    </row>
    <row r="8" spans="1:15" x14ac:dyDescent="0.3">
      <c r="A8" s="11">
        <v>5</v>
      </c>
      <c r="B8" s="12" t="s">
        <v>66</v>
      </c>
      <c r="C8" s="12"/>
      <c r="D8" s="14" t="s">
        <v>65</v>
      </c>
      <c r="E8" s="14" t="s">
        <v>13</v>
      </c>
      <c r="F8" s="14" t="s">
        <v>104</v>
      </c>
      <c r="G8" s="15">
        <v>427.34304088235302</v>
      </c>
      <c r="H8" s="17">
        <v>468.83730551470592</v>
      </c>
      <c r="I8" s="17">
        <v>639.06375044117658</v>
      </c>
      <c r="J8" s="17">
        <v>582.26162536764718</v>
      </c>
      <c r="K8" s="17">
        <v>641.26648941176495</v>
      </c>
      <c r="L8" s="17">
        <v>626.31640477941198</v>
      </c>
      <c r="M8" s="16">
        <v>595.0089710294119</v>
      </c>
    </row>
    <row r="9" spans="1:15" x14ac:dyDescent="0.3">
      <c r="A9" s="36">
        <v>6</v>
      </c>
      <c r="B9" s="37" t="s">
        <v>67</v>
      </c>
      <c r="C9" s="37"/>
      <c r="D9" s="38" t="s">
        <v>65</v>
      </c>
      <c r="E9" s="38" t="s">
        <v>13</v>
      </c>
      <c r="F9" s="38" t="s">
        <v>104</v>
      </c>
      <c r="G9" s="45">
        <v>427.34304088235302</v>
      </c>
      <c r="H9" s="46">
        <v>422.57978713235303</v>
      </c>
      <c r="I9" s="46">
        <v>573.40390852941175</v>
      </c>
      <c r="J9" s="46">
        <v>561.68537536764711</v>
      </c>
      <c r="K9" s="46">
        <v>559.00053352941188</v>
      </c>
      <c r="L9" s="46">
        <v>547.96787536764714</v>
      </c>
      <c r="M9" s="47">
        <v>573.40390852941175</v>
      </c>
    </row>
  </sheetData>
  <mergeCells count="2">
    <mergeCell ref="A1:F1"/>
    <mergeCell ref="M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81E1-937C-4413-B078-BFD2581F3351}">
  <sheetPr>
    <tabColor theme="3" tint="-0.249977111117893"/>
  </sheetPr>
  <dimension ref="B3:O83"/>
  <sheetViews>
    <sheetView showGridLines="0" zoomScale="77" zoomScaleNormal="77" workbookViewId="0">
      <pane xSplit="5" ySplit="10" topLeftCell="G11" activePane="bottomRight" state="frozen"/>
      <selection activeCell="E72" sqref="E72"/>
      <selection pane="topRight" activeCell="E72" sqref="E72"/>
      <selection pane="bottomLeft" activeCell="E72" sqref="E72"/>
      <selection pane="bottomRight" activeCell="H11" sqref="H11:J26"/>
    </sheetView>
  </sheetViews>
  <sheetFormatPr baseColWidth="10" defaultColWidth="11.44140625" defaultRowHeight="12" x14ac:dyDescent="0.25"/>
  <cols>
    <col min="1" max="1" width="1.6640625" style="52" customWidth="1"/>
    <col min="2" max="2" width="23.6640625" style="52" customWidth="1"/>
    <col min="3" max="3" width="24.33203125" style="52" customWidth="1"/>
    <col min="4" max="4" width="16.109375" style="52" customWidth="1"/>
    <col min="5" max="5" width="22.33203125" style="52" customWidth="1"/>
    <col min="6" max="10" width="12.88671875" style="52" customWidth="1"/>
    <col min="11" max="11" width="21.88671875" style="52" customWidth="1"/>
    <col min="12" max="13" width="12.88671875" style="52" customWidth="1"/>
    <col min="14" max="14" width="10.44140625" style="52" bestFit="1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111</v>
      </c>
      <c r="D3" s="51"/>
      <c r="G3" s="53"/>
    </row>
    <row r="4" spans="2:15" ht="13.8" x14ac:dyDescent="0.3">
      <c r="B4" s="54" t="s">
        <v>7</v>
      </c>
      <c r="C4" s="52" t="s">
        <v>112</v>
      </c>
      <c r="D4" s="55"/>
    </row>
    <row r="5" spans="2:15" x14ac:dyDescent="0.25">
      <c r="B5" s="54" t="s">
        <v>113</v>
      </c>
      <c r="C5" s="52" t="s">
        <v>114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58">
        <f>+F28+F40+F50+F54</f>
        <v>0</v>
      </c>
      <c r="G6" s="58">
        <f t="shared" ref="G6:N6" si="0">+G28+G40+G50+G54</f>
        <v>907.95690000000002</v>
      </c>
      <c r="H6" s="58">
        <f t="shared" si="0"/>
        <v>1265.6302400000004</v>
      </c>
      <c r="I6" s="58">
        <f t="shared" si="0"/>
        <v>1723.5316000000003</v>
      </c>
      <c r="J6" s="58">
        <f t="shared" si="0"/>
        <v>1715.4552400000002</v>
      </c>
      <c r="K6" s="58">
        <f t="shared" si="0"/>
        <v>970.14289999999994</v>
      </c>
      <c r="L6" s="58">
        <f t="shared" si="0"/>
        <v>2880.5990400000005</v>
      </c>
      <c r="M6" s="58">
        <f t="shared" si="0"/>
        <v>1879.681</v>
      </c>
      <c r="N6" s="58">
        <f t="shared" si="0"/>
        <v>1545.4672400000002</v>
      </c>
    </row>
    <row r="7" spans="2:15" x14ac:dyDescent="0.25">
      <c r="B7" s="59" t="s">
        <v>124</v>
      </c>
      <c r="F7" s="60">
        <f>F27*[1]Precios!$I$6+F32*IFERROR(VLOOKUP($B$32,REP_COST,9,0),0)+F33*IFERROR(VLOOKUP($B$33,REP_COST,9,0),0)+F34*IFERROR(VLOOKUP($B$34,REP_COST,9,0),0)+F35*IFERROR(VLOOKUP($B$35,REP_COST,9,0),0)+F36*IFERROR(VLOOKUP($B$36,REP_COST,9,0),0)+F37*IFERROR(VLOOKUP($B$37,REP_COST,9,0),0)+F45*IFERROR(VLOOKUP($B$45,REP_COST,9,0),0)+F46*IFERROR(VLOOKUP($B$46,REP_COST,9,0),0)+F47*IFERROR(VLOOKUP($B$47,REP_COST,9,0),0)+F48*IFERROR(VLOOKUP($B$48,REP_COST,9,0),0)+IF(F54&gt;0,[1]Precios!$I$9,0)</f>
        <v>61.949999999999996</v>
      </c>
      <c r="G7" s="60">
        <f>G27*[1]Precios!$I$6+G32*IFERROR(VLOOKUP($B$32,REP_COST,9,0),0)+G33*IFERROR(VLOOKUP($B$33,REP_COST,9,0),0)+G34*IFERROR(VLOOKUP($B$34,REP_COST,9,0),0)+G35*IFERROR(VLOOKUP($B$35,REP_COST,9,0),0)+G36*IFERROR(VLOOKUP($B$36,REP_COST,9,0),0)+G37*IFERROR(VLOOKUP($B$37,REP_COST,9,0),0)+G45*IFERROR(VLOOKUP($B$45,REP_COST,9,0),0)+G46*IFERROR(VLOOKUP($B$46,REP_COST,9,0),0)+G47*IFERROR(VLOOKUP($B$47,REP_COST,9,0),0)+G48*IFERROR(VLOOKUP($B$48,REP_COST,9,0),0)+IF(G54&gt;0,[1]Precios!$I$9,0)</f>
        <v>384.55609999999996</v>
      </c>
      <c r="H7" s="60">
        <f>H27*[1]Precios!$I$6+H32*IFERROR(VLOOKUP($B$32,REP_COST,9,0),0)+H33*IFERROR(VLOOKUP($B$33,REP_COST,9,0),0)+H34*IFERROR(VLOOKUP($B$34,REP_COST,9,0),0)+H35*IFERROR(VLOOKUP($B$35,REP_COST,9,0),0)+H36*IFERROR(VLOOKUP($B$36,REP_COST,9,0),0)+H37*IFERROR(VLOOKUP($B$37,REP_COST,9,0),0)+H45*IFERROR(VLOOKUP($B$45,REP_COST,9,0),0)+H46*IFERROR(VLOOKUP($B$46,REP_COST,9,0),0)+H47*IFERROR(VLOOKUP($B$47,REP_COST,9,0),0)+H48*IFERROR(VLOOKUP($B$48,REP_COST,9,0),0)+IF(H54&gt;0,[1]Precios!$I$9,0)</f>
        <v>482.02310000000011</v>
      </c>
      <c r="I7" s="60">
        <f>I27*[1]Precios!$I$6+I32*IFERROR(VLOOKUP($B$32,REP_COST,9,0),0)+I33*IFERROR(VLOOKUP($B$33,REP_COST,9,0),0)+I34*IFERROR(VLOOKUP($B$34,REP_COST,9,0),0)+I35*IFERROR(VLOOKUP($B$35,REP_COST,9,0),0)+I36*IFERROR(VLOOKUP($B$36,REP_COST,9,0),0)+I37*IFERROR(VLOOKUP($B$37,REP_COST,9,0),0)+I45*IFERROR(VLOOKUP($B$45,REP_COST,9,0),0)+I46*IFERROR(VLOOKUP($B$46,REP_COST,9,0),0)+I47*IFERROR(VLOOKUP($B$47,REP_COST,9,0),0)+I48*IFERROR(VLOOKUP($B$48,REP_COST,9,0),0)+IF(I54&gt;0,[1]Precios!$I$9,0)</f>
        <v>649.54280000000006</v>
      </c>
      <c r="J7" s="60">
        <f>J27*[1]Precios!$I$6+J32*IFERROR(VLOOKUP($B$32,REP_COST,9,0),0)+J33*IFERROR(VLOOKUP($B$33,REP_COST,9,0),0)+J34*IFERROR(VLOOKUP($B$34,REP_COST,9,0),0)+J35*IFERROR(VLOOKUP($B$35,REP_COST,9,0),0)+J36*IFERROR(VLOOKUP($B$36,REP_COST,9,0),0)+J37*IFERROR(VLOOKUP($B$37,REP_COST,9,0),0)+J45*IFERROR(VLOOKUP($B$45,REP_COST,9,0),0)+J46*IFERROR(VLOOKUP($B$46,REP_COST,9,0),0)+J47*IFERROR(VLOOKUP($B$47,REP_COST,9,0),0)+J48*IFERROR(VLOOKUP($B$48,REP_COST,9,0),0)+IF(J54&gt;0,[1]Precios!$I$9,0)</f>
        <v>655.25654000000009</v>
      </c>
      <c r="K7" s="60">
        <f>K27*[1]Precios!$I$6+K32*IFERROR(VLOOKUP($B$32,REP_COST,9,0),0)+K33*IFERROR(VLOOKUP($B$33,REP_COST,9,0),0)+K34*IFERROR(VLOOKUP($B$34,REP_COST,9,0),0)+K35*IFERROR(VLOOKUP($B$35,REP_COST,9,0),0)+K36*IFERROR(VLOOKUP($B$36,REP_COST,9,0),0)+K37*IFERROR(VLOOKUP($B$37,REP_COST,9,0),0)+K45*IFERROR(VLOOKUP($B$45,REP_COST,9,0),0)+K46*IFERROR(VLOOKUP($B$46,REP_COST,9,0),0)+K47*IFERROR(VLOOKUP($B$47,REP_COST,9,0),0)+K48*IFERROR(VLOOKUP($B$48,REP_COST,9,0),0)+IF(K54&gt;0,[1]Precios!$I$9,0)</f>
        <v>402.25609999999995</v>
      </c>
      <c r="L7" s="60">
        <f>L27*[1]Precios!$I$6+L32*IFERROR(VLOOKUP($B$32,REP_COST,9,0),0)+L33*IFERROR(VLOOKUP($B$33,REP_COST,9,0),0)+L34*IFERROR(VLOOKUP($B$34,REP_COST,9,0),0)+L35*IFERROR(VLOOKUP($B$35,REP_COST,9,0),0)+L36*IFERROR(VLOOKUP($B$36,REP_COST,9,0),0)+L37*IFERROR(VLOOKUP($B$37,REP_COST,9,0),0)+L45*IFERROR(VLOOKUP($B$45,REP_COST,9,0),0)+L46*IFERROR(VLOOKUP($B$46,REP_COST,9,0),0)+L47*IFERROR(VLOOKUP($B$47,REP_COST,9,0),0)+L48*IFERROR(VLOOKUP($B$48,REP_COST,9,0),0)+IF(L54&gt;0,[1]Precios!$I$9,0)</f>
        <v>1113.2971400000001</v>
      </c>
      <c r="M7" s="60">
        <f>M27*[1]Precios!$I$6+M32*IFERROR(VLOOKUP($B$32,REP_COST,9,0),0)+M33*IFERROR(VLOOKUP($B$33,REP_COST,9,0),0)+M34*IFERROR(VLOOKUP($B$34,REP_COST,9,0),0)+M35*IFERROR(VLOOKUP($B$35,REP_COST,9,0),0)+M36*IFERROR(VLOOKUP($B$36,REP_COST,9,0),0)+M37*IFERROR(VLOOKUP($B$37,REP_COST,9,0),0)+M45*IFERROR(VLOOKUP($B$45,REP_COST,9,0),0)+M46*IFERROR(VLOOKUP($B$46,REP_COST,9,0),0)+M47*IFERROR(VLOOKUP($B$47,REP_COST,9,0),0)+M48*IFERROR(VLOOKUP($B$48,REP_COST,9,0),0)+IF(M54&gt;0,[1]Precios!$I$9,0)</f>
        <v>974.3732</v>
      </c>
      <c r="N7" s="60">
        <f>N27*[1]Precios!$I$6+N32*IFERROR(VLOOKUP($B$32,REP_COST,9,0),0)+N33*IFERROR(VLOOKUP($B$33,REP_COST,9,0),0)+N34*IFERROR(VLOOKUP($B$34,REP_COST,9,0),0)+N35*IFERROR(VLOOKUP($B$35,REP_COST,9,0),0)+N36*IFERROR(VLOOKUP($B$36,REP_COST,9,0),0)+N37*IFERROR(VLOOKUP($B$37,REP_COST,9,0),0)+N45*IFERROR(VLOOKUP($B$45,REP_COST,9,0),0)+N46*IFERROR(VLOOKUP($B$46,REP_COST,9,0),0)+N47*IFERROR(VLOOKUP($B$47,REP_COST,9,0),0)+N48*IFERROR(VLOOKUP($B$48,REP_COST,9,0),0)+IF(N54&gt;0,[1]Precios!$I$9,0)</f>
        <v>561.67310000000009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s="82" customFormat="1" ht="12" customHeight="1" x14ac:dyDescent="0.25">
      <c r="B11" s="76">
        <v>1</v>
      </c>
      <c r="C11" s="77" t="s">
        <v>141</v>
      </c>
      <c r="D11" s="77"/>
      <c r="E11" s="78"/>
      <c r="F11" s="79"/>
      <c r="G11" s="80">
        <v>0.7</v>
      </c>
      <c r="H11" s="80">
        <v>0.7</v>
      </c>
      <c r="I11" s="80">
        <v>0.7</v>
      </c>
      <c r="J11" s="80">
        <v>0.7</v>
      </c>
      <c r="K11" s="80">
        <v>0.7</v>
      </c>
      <c r="L11" s="80">
        <v>0.7</v>
      </c>
      <c r="M11" s="80">
        <v>0.7</v>
      </c>
      <c r="N11" s="81">
        <v>0.7</v>
      </c>
    </row>
    <row r="12" spans="2:15" s="82" customFormat="1" ht="12" customHeight="1" x14ac:dyDescent="0.25">
      <c r="B12" s="83">
        <v>2</v>
      </c>
      <c r="C12" s="84" t="s">
        <v>142</v>
      </c>
      <c r="D12" s="84"/>
      <c r="E12" s="85"/>
      <c r="F12" s="79">
        <v>0.2</v>
      </c>
      <c r="G12" s="80">
        <v>0.2</v>
      </c>
      <c r="H12" s="80">
        <v>0.2</v>
      </c>
      <c r="I12" s="80">
        <v>0.2</v>
      </c>
      <c r="J12" s="80">
        <v>0.2</v>
      </c>
      <c r="K12" s="80">
        <v>0.2</v>
      </c>
      <c r="L12" s="80">
        <v>0.2</v>
      </c>
      <c r="M12" s="80">
        <v>0.2</v>
      </c>
      <c r="N12" s="81">
        <v>0.2</v>
      </c>
    </row>
    <row r="13" spans="2:15" s="82" customFormat="1" ht="12" customHeight="1" x14ac:dyDescent="0.25">
      <c r="B13" s="83">
        <v>3</v>
      </c>
      <c r="C13" s="84" t="s">
        <v>143</v>
      </c>
      <c r="D13" s="84"/>
      <c r="E13" s="85"/>
      <c r="F13" s="79"/>
      <c r="G13" s="80"/>
      <c r="H13" s="80"/>
      <c r="I13" s="80">
        <v>0.4</v>
      </c>
      <c r="J13" s="80"/>
      <c r="K13" s="80"/>
      <c r="L13" s="80">
        <v>0.4</v>
      </c>
      <c r="M13" s="80"/>
      <c r="N13" s="81"/>
    </row>
    <row r="14" spans="2:15" s="82" customFormat="1" ht="12" customHeight="1" x14ac:dyDescent="0.25">
      <c r="B14" s="83">
        <v>4</v>
      </c>
      <c r="C14" s="84" t="s">
        <v>144</v>
      </c>
      <c r="D14" s="84"/>
      <c r="E14" s="85"/>
      <c r="F14" s="79"/>
      <c r="G14" s="80"/>
      <c r="H14" s="80"/>
      <c r="I14" s="80">
        <v>0.8</v>
      </c>
      <c r="J14" s="80"/>
      <c r="K14" s="80"/>
      <c r="L14" s="80">
        <v>0.8</v>
      </c>
      <c r="M14" s="80"/>
      <c r="N14" s="81"/>
    </row>
    <row r="15" spans="2:15" s="82" customFormat="1" ht="12" customHeight="1" x14ac:dyDescent="0.25">
      <c r="B15" s="83">
        <v>5</v>
      </c>
      <c r="C15" s="84" t="s">
        <v>145</v>
      </c>
      <c r="D15" s="84"/>
      <c r="E15" s="85"/>
      <c r="F15" s="79"/>
      <c r="G15" s="80"/>
      <c r="H15" s="80"/>
      <c r="I15" s="80"/>
      <c r="J15" s="80"/>
      <c r="K15" s="80"/>
      <c r="L15" s="80">
        <v>0.6</v>
      </c>
      <c r="M15" s="80"/>
      <c r="N15" s="81"/>
    </row>
    <row r="16" spans="2:15" s="82" customFormat="1" ht="12" customHeight="1" x14ac:dyDescent="0.25">
      <c r="B16" s="83">
        <v>6</v>
      </c>
      <c r="C16" s="84" t="s">
        <v>146</v>
      </c>
      <c r="D16" s="84"/>
      <c r="E16" s="85"/>
      <c r="F16" s="79"/>
      <c r="G16" s="80"/>
      <c r="H16" s="80">
        <v>0.8</v>
      </c>
      <c r="I16" s="80"/>
      <c r="J16" s="80">
        <v>0.8</v>
      </c>
      <c r="K16" s="80"/>
      <c r="L16" s="80">
        <v>0.8</v>
      </c>
      <c r="M16" s="80"/>
      <c r="N16" s="81">
        <v>0.8</v>
      </c>
    </row>
    <row r="17" spans="2:14" s="82" customFormat="1" ht="12" customHeight="1" x14ac:dyDescent="0.25">
      <c r="B17" s="83">
        <v>7</v>
      </c>
      <c r="C17" s="84" t="s">
        <v>147</v>
      </c>
      <c r="D17" s="84"/>
      <c r="E17" s="85"/>
      <c r="F17" s="79"/>
      <c r="G17" s="80"/>
      <c r="H17" s="80"/>
      <c r="I17" s="80">
        <v>0.5</v>
      </c>
      <c r="J17" s="80"/>
      <c r="K17" s="80"/>
      <c r="L17" s="80">
        <v>0.5</v>
      </c>
      <c r="M17" s="80"/>
      <c r="N17" s="81"/>
    </row>
    <row r="18" spans="2:14" s="82" customFormat="1" ht="12" customHeight="1" x14ac:dyDescent="0.25">
      <c r="B18" s="83">
        <v>8</v>
      </c>
      <c r="C18" s="84" t="s">
        <v>148</v>
      </c>
      <c r="D18" s="84"/>
      <c r="E18" s="85"/>
      <c r="F18" s="79"/>
      <c r="G18" s="80"/>
      <c r="H18" s="80"/>
      <c r="I18" s="80"/>
      <c r="J18" s="80">
        <v>0.5</v>
      </c>
      <c r="K18" s="80"/>
      <c r="L18" s="80">
        <v>0.5</v>
      </c>
      <c r="M18" s="80"/>
      <c r="N18" s="81">
        <v>0.5</v>
      </c>
    </row>
    <row r="19" spans="2:14" s="82" customFormat="1" ht="12" customHeight="1" x14ac:dyDescent="0.25">
      <c r="B19" s="83">
        <v>9</v>
      </c>
      <c r="C19" s="84" t="s">
        <v>149</v>
      </c>
      <c r="D19" s="84"/>
      <c r="E19" s="85"/>
      <c r="F19" s="79"/>
      <c r="G19" s="80"/>
      <c r="H19" s="80"/>
      <c r="I19" s="80"/>
      <c r="J19" s="80"/>
      <c r="K19" s="80"/>
      <c r="L19" s="80"/>
      <c r="M19" s="80">
        <v>0.7</v>
      </c>
      <c r="N19" s="81"/>
    </row>
    <row r="20" spans="2:14" s="82" customFormat="1" ht="12" customHeight="1" x14ac:dyDescent="0.25">
      <c r="B20" s="83">
        <v>10</v>
      </c>
      <c r="C20" s="84" t="s">
        <v>150</v>
      </c>
      <c r="D20" s="84"/>
      <c r="E20" s="85"/>
      <c r="F20" s="79">
        <v>0.5</v>
      </c>
      <c r="G20" s="80">
        <v>0.5</v>
      </c>
      <c r="H20" s="80">
        <v>0.5</v>
      </c>
      <c r="I20" s="80">
        <v>0.5</v>
      </c>
      <c r="J20" s="80">
        <v>0.5</v>
      </c>
      <c r="K20" s="80">
        <v>0.5</v>
      </c>
      <c r="L20" s="80">
        <v>0.5</v>
      </c>
      <c r="M20" s="80">
        <v>0.5</v>
      </c>
      <c r="N20" s="81">
        <v>0.5</v>
      </c>
    </row>
    <row r="21" spans="2:14" s="82" customFormat="1" ht="12" customHeight="1" x14ac:dyDescent="0.25">
      <c r="B21" s="83">
        <v>11</v>
      </c>
      <c r="C21" s="84" t="s">
        <v>151</v>
      </c>
      <c r="D21" s="84"/>
      <c r="E21" s="85"/>
      <c r="F21" s="79"/>
      <c r="G21" s="80">
        <v>0.2</v>
      </c>
      <c r="H21" s="80">
        <v>0.2</v>
      </c>
      <c r="I21" s="80">
        <v>0.2</v>
      </c>
      <c r="J21" s="80">
        <v>0.2</v>
      </c>
      <c r="K21" s="80">
        <v>0.2</v>
      </c>
      <c r="L21" s="80">
        <v>0.2</v>
      </c>
      <c r="M21" s="80">
        <v>0.2</v>
      </c>
      <c r="N21" s="81">
        <v>0.2</v>
      </c>
    </row>
    <row r="22" spans="2:14" s="82" customFormat="1" ht="12" customHeight="1" x14ac:dyDescent="0.25">
      <c r="B22" s="83">
        <v>12</v>
      </c>
      <c r="C22" s="84" t="s">
        <v>152</v>
      </c>
      <c r="D22" s="84"/>
      <c r="E22" s="85"/>
      <c r="F22" s="79"/>
      <c r="G22" s="80"/>
      <c r="H22" s="80">
        <v>0.2</v>
      </c>
      <c r="I22" s="80"/>
      <c r="J22" s="80">
        <v>0.2</v>
      </c>
      <c r="K22" s="80"/>
      <c r="L22" s="80">
        <v>0.2</v>
      </c>
      <c r="M22" s="80"/>
      <c r="N22" s="81">
        <v>0.2</v>
      </c>
    </row>
    <row r="23" spans="2:14" s="82" customFormat="1" ht="12" customHeight="1" x14ac:dyDescent="0.25">
      <c r="B23" s="83">
        <v>13</v>
      </c>
      <c r="C23" s="84" t="s">
        <v>153</v>
      </c>
      <c r="D23" s="84"/>
      <c r="E23" s="85"/>
      <c r="F23" s="79"/>
      <c r="G23" s="80"/>
      <c r="H23" s="80"/>
      <c r="I23" s="80"/>
      <c r="J23" s="80"/>
      <c r="K23" s="80">
        <v>0.2</v>
      </c>
      <c r="L23" s="80"/>
      <c r="M23" s="80"/>
      <c r="N23" s="81">
        <v>0.2</v>
      </c>
    </row>
    <row r="24" spans="2:14" s="82" customFormat="1" ht="12" customHeight="1" x14ac:dyDescent="0.25">
      <c r="B24" s="83">
        <v>14</v>
      </c>
      <c r="C24" s="84" t="s">
        <v>154</v>
      </c>
      <c r="D24" s="84"/>
      <c r="E24" s="85"/>
      <c r="F24" s="79"/>
      <c r="G24" s="80"/>
      <c r="H24" s="80"/>
      <c r="I24" s="80"/>
      <c r="J24" s="80">
        <v>0.2</v>
      </c>
      <c r="K24" s="80"/>
      <c r="L24" s="80"/>
      <c r="M24" s="80"/>
      <c r="N24" s="81">
        <v>0.2</v>
      </c>
    </row>
    <row r="25" spans="2:14" s="82" customFormat="1" ht="12" customHeight="1" x14ac:dyDescent="0.25">
      <c r="B25" s="83">
        <v>15</v>
      </c>
      <c r="C25" s="84" t="s">
        <v>155</v>
      </c>
      <c r="D25" s="84"/>
      <c r="E25" s="85"/>
      <c r="F25" s="79"/>
      <c r="G25" s="80">
        <v>0.2</v>
      </c>
      <c r="H25" s="80">
        <v>0.2</v>
      </c>
      <c r="I25" s="80">
        <v>0.2</v>
      </c>
      <c r="J25" s="80">
        <v>0.2</v>
      </c>
      <c r="K25" s="80">
        <v>0.2</v>
      </c>
      <c r="L25" s="80">
        <v>0.2</v>
      </c>
      <c r="M25" s="80">
        <v>0.2</v>
      </c>
      <c r="N25" s="81">
        <v>0.2</v>
      </c>
    </row>
    <row r="26" spans="2:14" s="82" customFormat="1" ht="12" customHeight="1" x14ac:dyDescent="0.25">
      <c r="B26" s="83"/>
      <c r="C26" s="84"/>
      <c r="D26" s="84"/>
      <c r="E26" s="85"/>
      <c r="F26" s="79"/>
      <c r="G26" s="80"/>
      <c r="H26" s="80"/>
      <c r="I26" s="80"/>
      <c r="J26" s="80"/>
      <c r="K26" s="80"/>
      <c r="L26" s="80"/>
      <c r="M26" s="80"/>
      <c r="N26" s="81"/>
    </row>
    <row r="27" spans="2:14" ht="12" customHeight="1" x14ac:dyDescent="0.25">
      <c r="B27" s="202" t="s">
        <v>156</v>
      </c>
      <c r="C27" s="203"/>
      <c r="D27" s="203"/>
      <c r="E27" s="203"/>
      <c r="F27" s="86">
        <f>SUM(F11:F26)</f>
        <v>0.7</v>
      </c>
      <c r="G27" s="87">
        <f t="shared" ref="G27:N27" si="1">SUM(G11:G26)</f>
        <v>1.7999999999999998</v>
      </c>
      <c r="H27" s="87">
        <f t="shared" si="1"/>
        <v>2.8000000000000007</v>
      </c>
      <c r="I27" s="87">
        <f t="shared" si="1"/>
        <v>3.5</v>
      </c>
      <c r="J27" s="87">
        <f t="shared" si="1"/>
        <v>3.5000000000000009</v>
      </c>
      <c r="K27" s="87">
        <f t="shared" si="1"/>
        <v>1.9999999999999998</v>
      </c>
      <c r="L27" s="87">
        <f t="shared" si="1"/>
        <v>5.6000000000000005</v>
      </c>
      <c r="M27" s="87">
        <f t="shared" si="1"/>
        <v>2.5</v>
      </c>
      <c r="N27" s="88">
        <f t="shared" si="1"/>
        <v>3.7000000000000011</v>
      </c>
    </row>
    <row r="28" spans="2:14" ht="12" customHeight="1" x14ac:dyDescent="0.25">
      <c r="B28" s="202" t="s">
        <v>157</v>
      </c>
      <c r="C28" s="203"/>
      <c r="D28" s="203"/>
      <c r="E28" s="203"/>
      <c r="F28" s="89">
        <v>0</v>
      </c>
      <c r="G28" s="90">
        <f>+G27*HH</f>
        <v>559.67399999999998</v>
      </c>
      <c r="H28" s="91">
        <f t="shared" ref="H28:N28" si="2">+H27*HH</f>
        <v>870.60400000000027</v>
      </c>
      <c r="I28" s="92">
        <f t="shared" si="2"/>
        <v>1088.2550000000001</v>
      </c>
      <c r="J28" s="92">
        <f t="shared" si="2"/>
        <v>1088.2550000000003</v>
      </c>
      <c r="K28" s="92">
        <f t="shared" si="2"/>
        <v>621.8599999999999</v>
      </c>
      <c r="L28" s="92">
        <f t="shared" si="2"/>
        <v>1741.2080000000003</v>
      </c>
      <c r="M28" s="92">
        <f t="shared" si="2"/>
        <v>777.32500000000005</v>
      </c>
      <c r="N28" s="93">
        <f t="shared" si="2"/>
        <v>1150.4410000000003</v>
      </c>
    </row>
    <row r="29" spans="2:14" x14ac:dyDescent="0.25">
      <c r="B29" s="94"/>
      <c r="E29" s="95"/>
      <c r="N29" s="96"/>
    </row>
    <row r="30" spans="2:14" ht="13.5" customHeight="1" x14ac:dyDescent="0.3">
      <c r="B30" s="97" t="s">
        <v>158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9"/>
    </row>
    <row r="31" spans="2:14" x14ac:dyDescent="0.25">
      <c r="B31" s="100" t="s">
        <v>159</v>
      </c>
      <c r="C31" s="101" t="s">
        <v>160</v>
      </c>
      <c r="D31" s="101"/>
      <c r="E31" s="101"/>
      <c r="F31" s="74" t="s">
        <v>161</v>
      </c>
      <c r="G31" s="74"/>
      <c r="H31" s="74"/>
      <c r="I31" s="74"/>
      <c r="J31" s="74"/>
      <c r="K31" s="74"/>
      <c r="L31" s="74"/>
      <c r="M31" s="74"/>
      <c r="N31" s="75"/>
    </row>
    <row r="32" spans="2:14" ht="12" customHeight="1" x14ac:dyDescent="0.25">
      <c r="B32" s="102" t="s">
        <v>162</v>
      </c>
      <c r="C32" s="103" t="s">
        <v>163</v>
      </c>
      <c r="D32" s="103"/>
      <c r="E32" s="104"/>
      <c r="F32" s="105"/>
      <c r="G32" s="105">
        <v>1</v>
      </c>
      <c r="H32" s="105">
        <v>1</v>
      </c>
      <c r="I32" s="105">
        <v>1</v>
      </c>
      <c r="J32" s="105">
        <v>1</v>
      </c>
      <c r="K32" s="105">
        <v>1</v>
      </c>
      <c r="L32" s="105">
        <v>1</v>
      </c>
      <c r="M32" s="105">
        <v>1</v>
      </c>
      <c r="N32" s="106">
        <v>1</v>
      </c>
    </row>
    <row r="33" spans="2:14" ht="12" customHeight="1" x14ac:dyDescent="0.25">
      <c r="B33" s="107">
        <v>2151323001</v>
      </c>
      <c r="C33" s="108" t="s">
        <v>164</v>
      </c>
      <c r="D33" s="108"/>
      <c r="E33" s="109"/>
      <c r="F33" s="110"/>
      <c r="G33" s="110">
        <v>1</v>
      </c>
      <c r="H33" s="110">
        <v>1</v>
      </c>
      <c r="I33" s="110">
        <v>1</v>
      </c>
      <c r="J33" s="110">
        <v>1</v>
      </c>
      <c r="K33" s="110">
        <v>1</v>
      </c>
      <c r="L33" s="110">
        <v>1</v>
      </c>
      <c r="M33" s="110">
        <v>1</v>
      </c>
      <c r="N33" s="111">
        <v>1</v>
      </c>
    </row>
    <row r="34" spans="2:14" ht="11.25" customHeight="1" x14ac:dyDescent="0.25">
      <c r="B34" s="112" t="s">
        <v>165</v>
      </c>
      <c r="C34" s="108" t="s">
        <v>166</v>
      </c>
      <c r="D34" s="108"/>
      <c r="E34" s="109"/>
      <c r="F34" s="110"/>
      <c r="G34" s="110"/>
      <c r="H34" s="110"/>
      <c r="I34" s="113">
        <v>1</v>
      </c>
      <c r="J34" s="113"/>
      <c r="K34" s="113"/>
      <c r="L34" s="113">
        <v>1</v>
      </c>
      <c r="M34" s="113"/>
      <c r="N34" s="111"/>
    </row>
    <row r="35" spans="2:14" ht="12" customHeight="1" x14ac:dyDescent="0.25">
      <c r="B35" s="112" t="s">
        <v>167</v>
      </c>
      <c r="C35" s="108" t="s">
        <v>168</v>
      </c>
      <c r="D35" s="108"/>
      <c r="E35" s="109"/>
      <c r="F35" s="110"/>
      <c r="G35" s="110"/>
      <c r="H35" s="110"/>
      <c r="I35" s="113"/>
      <c r="J35" s="113"/>
      <c r="K35" s="113"/>
      <c r="L35" s="113">
        <v>1</v>
      </c>
      <c r="M35" s="113"/>
      <c r="N35" s="111"/>
    </row>
    <row r="36" spans="2:14" ht="12" customHeight="1" x14ac:dyDescent="0.25">
      <c r="B36" s="114" t="s">
        <v>169</v>
      </c>
      <c r="C36" s="115" t="s">
        <v>170</v>
      </c>
      <c r="D36" s="115"/>
      <c r="E36" s="116"/>
      <c r="F36" s="117"/>
      <c r="G36" s="117"/>
      <c r="H36" s="117"/>
      <c r="I36" s="118">
        <v>1</v>
      </c>
      <c r="J36" s="118"/>
      <c r="K36" s="118"/>
      <c r="L36" s="118">
        <v>1</v>
      </c>
      <c r="M36" s="118"/>
      <c r="N36" s="119"/>
    </row>
    <row r="37" spans="2:14" ht="12" customHeight="1" x14ac:dyDescent="0.25">
      <c r="B37" s="114" t="s">
        <v>171</v>
      </c>
      <c r="C37" s="115" t="s">
        <v>172</v>
      </c>
      <c r="D37" s="115"/>
      <c r="E37" s="116"/>
      <c r="F37" s="117"/>
      <c r="G37" s="117"/>
      <c r="H37" s="117"/>
      <c r="I37" s="118"/>
      <c r="J37" s="118"/>
      <c r="K37" s="118"/>
      <c r="L37" s="118"/>
      <c r="M37" s="118">
        <v>1</v>
      </c>
      <c r="N37" s="119"/>
    </row>
    <row r="38" spans="2:14" ht="12" customHeight="1" x14ac:dyDescent="0.25">
      <c r="B38" s="114" t="s">
        <v>173</v>
      </c>
      <c r="C38" s="115"/>
      <c r="D38" s="115"/>
      <c r="E38" s="116"/>
      <c r="F38" s="117"/>
      <c r="G38" s="117"/>
      <c r="H38" s="117"/>
      <c r="I38" s="118"/>
      <c r="J38" s="118"/>
      <c r="K38" s="118"/>
      <c r="L38" s="118"/>
      <c r="M38" s="118"/>
      <c r="N38" s="119"/>
    </row>
    <row r="39" spans="2:14" ht="12" customHeight="1" x14ac:dyDescent="0.25">
      <c r="B39" s="120" t="s">
        <v>173</v>
      </c>
      <c r="C39" s="115"/>
      <c r="D39" s="115"/>
      <c r="E39" s="116"/>
      <c r="F39" s="117"/>
      <c r="G39" s="117"/>
      <c r="H39" s="117"/>
      <c r="I39" s="117"/>
      <c r="J39" s="117"/>
      <c r="K39" s="117"/>
      <c r="L39" s="117"/>
      <c r="M39" s="117"/>
      <c r="N39" s="119"/>
    </row>
    <row r="40" spans="2:14" ht="12" customHeight="1" x14ac:dyDescent="0.25">
      <c r="B40" s="202" t="s">
        <v>174</v>
      </c>
      <c r="C40" s="203"/>
      <c r="D40" s="203"/>
      <c r="E40" s="203"/>
      <c r="F40" s="89">
        <f>F32*VLOOKUP($B$32,REP_LUB,5,0)+F33*VLOOKUP($B$33,REP_LUB,5,0)+F34*VLOOKUP($B$34,REP_LUB,5,0)+F35*VLOOKUP($B$35,REP_LUB,5,0)+F36*VLOOKUP($B$36,REP_LUB,5,0)+F37*VLOOKUP($B$37,REP_LUB,5,0)+F38*VLOOKUP($B$38,REP_LUB,5,0)+F39*VLOOKUP($B$39,REP_LUB,5,0)</f>
        <v>0</v>
      </c>
      <c r="G40" s="90">
        <f>G32*VLOOKUP($B$32,REP_LUB,5,0)+G33*VLOOKUP($B$33,REP_LUB,5,0)+G34*VLOOKUP($B$34,REP_LUB,5,0)+G35*VLOOKUP($B$35,REP_LUB,5,0)+G36*VLOOKUP($B$36,REP_LUB,5,0)+G37*VLOOKUP($B$37,REP_LUB,5,0)+G38*VLOOKUP($B$38,REP_LUB,5,0)+G39*VLOOKUP($B$39,REP_LUB,5,0)</f>
        <v>59.418899999999994</v>
      </c>
      <c r="H40" s="92">
        <f t="shared" ref="H40:N40" si="3">H32*VLOOKUP($B$32,REP_LUB,5,0)+H33*VLOOKUP($B$33,REP_LUB,5,0)+H34*VLOOKUP($B$34,REP_LUB,5,0)+H35*VLOOKUP($B$35,REP_LUB,5,0)+H36*VLOOKUP($B$36,REP_LUB,5,0)+H37*VLOOKUP($B$37,REP_LUB,5,0)+H38*VLOOKUP($B$38,REP_LUB,5,0)+H39*VLOOKUP($B$39,REP_LUB,5,0)</f>
        <v>59.418899999999994</v>
      </c>
      <c r="I40" s="92">
        <f t="shared" si="3"/>
        <v>313.02449999999999</v>
      </c>
      <c r="J40" s="92">
        <f t="shared" si="3"/>
        <v>59.418899999999994</v>
      </c>
      <c r="K40" s="92">
        <f t="shared" si="3"/>
        <v>59.418899999999994</v>
      </c>
      <c r="L40" s="92">
        <f t="shared" si="3"/>
        <v>538.22159999999985</v>
      </c>
      <c r="M40" s="92">
        <f t="shared" si="3"/>
        <v>813.49199999999996</v>
      </c>
      <c r="N40" s="93">
        <f t="shared" si="3"/>
        <v>59.418899999999994</v>
      </c>
    </row>
    <row r="41" spans="2:14" ht="7.5" customHeight="1" x14ac:dyDescent="0.25">
      <c r="B41" s="121"/>
      <c r="E41" s="122"/>
      <c r="F41" s="122"/>
      <c r="G41" s="122"/>
      <c r="H41" s="122"/>
      <c r="I41" s="122"/>
      <c r="J41" s="122"/>
      <c r="K41" s="122"/>
      <c r="L41" s="122"/>
      <c r="M41" s="122"/>
      <c r="N41" s="123"/>
    </row>
    <row r="42" spans="2:14" ht="7.5" customHeight="1" x14ac:dyDescent="0.25">
      <c r="B42" s="121"/>
      <c r="E42" s="122"/>
      <c r="F42" s="122"/>
      <c r="G42" s="122"/>
      <c r="H42" s="122"/>
      <c r="I42" s="122"/>
      <c r="J42" s="122"/>
      <c r="K42" s="122"/>
      <c r="L42" s="122"/>
      <c r="M42" s="122"/>
      <c r="N42" s="123"/>
    </row>
    <row r="43" spans="2:14" ht="13.5" customHeight="1" x14ac:dyDescent="0.3">
      <c r="B43" s="124" t="s">
        <v>175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3"/>
    </row>
    <row r="44" spans="2:14" ht="12" customHeight="1" x14ac:dyDescent="0.25">
      <c r="B44" s="125" t="s">
        <v>159</v>
      </c>
      <c r="C44" s="126" t="s">
        <v>160</v>
      </c>
      <c r="D44" s="126"/>
      <c r="E44" s="126"/>
      <c r="F44" s="127" t="s">
        <v>161</v>
      </c>
      <c r="G44" s="127"/>
      <c r="H44" s="127"/>
      <c r="I44" s="127"/>
      <c r="J44" s="127"/>
      <c r="K44" s="127"/>
      <c r="L44" s="127"/>
      <c r="M44" s="127"/>
      <c r="N44" s="128"/>
    </row>
    <row r="45" spans="2:14" ht="12.75" customHeight="1" x14ac:dyDescent="0.25">
      <c r="B45" s="129">
        <v>741433</v>
      </c>
      <c r="C45" s="103" t="s">
        <v>176</v>
      </c>
      <c r="D45" s="103"/>
      <c r="E45" s="104"/>
      <c r="F45" s="130"/>
      <c r="G45" s="130">
        <v>4</v>
      </c>
      <c r="H45" s="130">
        <v>4</v>
      </c>
      <c r="I45" s="130">
        <v>4</v>
      </c>
      <c r="J45" s="130">
        <v>4</v>
      </c>
      <c r="K45" s="131">
        <v>4</v>
      </c>
      <c r="L45" s="131">
        <v>4</v>
      </c>
      <c r="M45" s="131">
        <v>4</v>
      </c>
      <c r="N45" s="132">
        <v>4</v>
      </c>
    </row>
    <row r="46" spans="2:14" ht="12.75" customHeight="1" x14ac:dyDescent="0.25">
      <c r="B46" s="133" t="s">
        <v>177</v>
      </c>
      <c r="C46" s="103" t="s">
        <v>178</v>
      </c>
      <c r="D46" s="103"/>
      <c r="E46" s="104"/>
      <c r="F46" s="130"/>
      <c r="G46" s="130"/>
      <c r="H46" s="80">
        <v>0.7</v>
      </c>
      <c r="I46" s="80"/>
      <c r="J46" s="80">
        <v>0.7</v>
      </c>
      <c r="K46" s="134"/>
      <c r="L46" s="134">
        <v>0.7</v>
      </c>
      <c r="M46" s="134"/>
      <c r="N46" s="81">
        <v>0.7</v>
      </c>
    </row>
    <row r="47" spans="2:14" ht="12.75" customHeight="1" x14ac:dyDescent="0.25">
      <c r="B47" s="133" t="s">
        <v>179</v>
      </c>
      <c r="C47" s="103" t="s">
        <v>180</v>
      </c>
      <c r="D47" s="103"/>
      <c r="E47" s="104"/>
      <c r="F47" s="130"/>
      <c r="G47" s="130"/>
      <c r="H47" s="80"/>
      <c r="I47" s="80"/>
      <c r="J47" s="80">
        <v>5.8</v>
      </c>
      <c r="K47" s="134"/>
      <c r="L47" s="134">
        <v>5.8</v>
      </c>
      <c r="M47" s="134"/>
      <c r="N47" s="81"/>
    </row>
    <row r="48" spans="2:14" ht="12.75" customHeight="1" x14ac:dyDescent="0.25">
      <c r="B48" s="133" t="s">
        <v>181</v>
      </c>
      <c r="C48" s="103" t="s">
        <v>178</v>
      </c>
      <c r="D48" s="103"/>
      <c r="E48" s="104"/>
      <c r="F48" s="130"/>
      <c r="G48" s="130"/>
      <c r="H48" s="80"/>
      <c r="I48" s="80">
        <v>0.5</v>
      </c>
      <c r="J48" s="80"/>
      <c r="K48" s="134"/>
      <c r="L48" s="80">
        <v>0.5</v>
      </c>
      <c r="M48" s="80"/>
      <c r="N48" s="81"/>
    </row>
    <row r="49" spans="2:14" ht="12.75" customHeight="1" x14ac:dyDescent="0.25">
      <c r="B49" s="133" t="s">
        <v>173</v>
      </c>
      <c r="C49" s="103"/>
      <c r="D49" s="103"/>
      <c r="E49" s="104"/>
      <c r="F49" s="130"/>
      <c r="G49" s="130"/>
      <c r="H49" s="80"/>
      <c r="I49" s="80"/>
      <c r="J49" s="80"/>
      <c r="K49" s="134"/>
      <c r="L49" s="134"/>
      <c r="M49" s="134"/>
      <c r="N49" s="81"/>
    </row>
    <row r="50" spans="2:14" ht="12" customHeight="1" x14ac:dyDescent="0.25">
      <c r="B50" s="202" t="s">
        <v>182</v>
      </c>
      <c r="C50" s="203"/>
      <c r="D50" s="203"/>
      <c r="E50" s="203"/>
      <c r="F50" s="89">
        <f>F45*VLOOKUP($B$45,REP_LUB,5,0)+F46*VLOOKUP($B$46,REP_LUB,5,0)+F47*VLOOKUP($B$47,REP_LUB,5,0)+F48*VLOOKUP($B$48,REP_LUB,5,0)+F49*VLOOKUP($B$49,REP_LUB,5,0)</f>
        <v>0</v>
      </c>
      <c r="G50" s="89">
        <f>G45*VLOOKUP($B$45,REP_LUB,5,0)+G46*VLOOKUP($B$46,REP_LUB,5,0)+G47*VLOOKUP($B$47,REP_LUB,5,0)+G48*VLOOKUP($B$48,REP_LUB,5,0)+G49*VLOOKUP($B$49,REP_LUB,5,0)</f>
        <v>194.464</v>
      </c>
      <c r="H50" s="92">
        <f t="shared" ref="H50:N50" si="4">H45*VLOOKUP($B$45,REP_LUB,5,0)+H46*VLOOKUP($B$46,REP_LUB,5,0)+H47*VLOOKUP($B$47,REP_LUB,5,0)+H48*VLOOKUP($B$48,REP_LUB,5,0)+H49*VLOOKUP($B$49,REP_LUB,5,0)</f>
        <v>241.20733999999999</v>
      </c>
      <c r="I50" s="92">
        <f t="shared" si="4"/>
        <v>227.85210000000001</v>
      </c>
      <c r="J50" s="92">
        <f t="shared" si="4"/>
        <v>473.38134000000002</v>
      </c>
      <c r="K50" s="92">
        <f t="shared" si="4"/>
        <v>194.464</v>
      </c>
      <c r="L50" s="92">
        <f t="shared" si="4"/>
        <v>506.76944000000003</v>
      </c>
      <c r="M50" s="92">
        <f t="shared" si="4"/>
        <v>194.464</v>
      </c>
      <c r="N50" s="93">
        <f t="shared" si="4"/>
        <v>241.20733999999999</v>
      </c>
    </row>
    <row r="51" spans="2:14" x14ac:dyDescent="0.25">
      <c r="N51" s="96"/>
    </row>
    <row r="52" spans="2:14" ht="13.5" customHeight="1" x14ac:dyDescent="0.3">
      <c r="B52" s="97" t="s">
        <v>183</v>
      </c>
      <c r="C52" s="98"/>
      <c r="D52" s="98"/>
      <c r="E52" s="135"/>
      <c r="F52" s="135"/>
      <c r="G52" s="135"/>
      <c r="H52" s="135"/>
      <c r="I52" s="135"/>
      <c r="J52" s="135"/>
      <c r="K52" s="135"/>
      <c r="L52" s="135"/>
      <c r="M52" s="135"/>
      <c r="N52" s="136"/>
    </row>
    <row r="53" spans="2:14" ht="12" customHeight="1" x14ac:dyDescent="0.25">
      <c r="B53" s="137"/>
      <c r="C53" s="72" t="s">
        <v>160</v>
      </c>
      <c r="D53" s="72"/>
      <c r="E53" s="72"/>
      <c r="F53" s="138"/>
      <c r="G53" s="138"/>
      <c r="H53" s="138"/>
      <c r="I53" s="138"/>
      <c r="J53" s="138"/>
      <c r="K53" s="138"/>
      <c r="L53" s="138"/>
      <c r="M53" s="138"/>
      <c r="N53" s="139"/>
    </row>
    <row r="54" spans="2:14" ht="12.75" customHeight="1" x14ac:dyDescent="0.25">
      <c r="B54" s="202" t="s">
        <v>184</v>
      </c>
      <c r="C54" s="203"/>
      <c r="D54" s="203"/>
      <c r="E54" s="203"/>
      <c r="F54" s="89">
        <v>0</v>
      </c>
      <c r="G54" s="89">
        <f>MATERIALES</f>
        <v>94.399999999999991</v>
      </c>
      <c r="H54" s="89">
        <f t="shared" ref="H54:N54" si="5">MATERIALES</f>
        <v>94.399999999999991</v>
      </c>
      <c r="I54" s="89">
        <f t="shared" si="5"/>
        <v>94.399999999999991</v>
      </c>
      <c r="J54" s="89">
        <f t="shared" si="5"/>
        <v>94.399999999999991</v>
      </c>
      <c r="K54" s="89">
        <f t="shared" si="5"/>
        <v>94.399999999999991</v>
      </c>
      <c r="L54" s="89">
        <f t="shared" si="5"/>
        <v>94.399999999999991</v>
      </c>
      <c r="M54" s="89">
        <f t="shared" si="5"/>
        <v>94.399999999999991</v>
      </c>
      <c r="N54" s="140">
        <f t="shared" si="5"/>
        <v>94.399999999999991</v>
      </c>
    </row>
    <row r="55" spans="2:14" x14ac:dyDescent="0.25">
      <c r="N55" s="96"/>
    </row>
    <row r="56" spans="2:14" x14ac:dyDescent="0.25">
      <c r="N56" s="96"/>
    </row>
    <row r="57" spans="2:14" x14ac:dyDescent="0.25">
      <c r="B57" s="141" t="s">
        <v>185</v>
      </c>
      <c r="N57" s="96"/>
    </row>
    <row r="58" spans="2:14" ht="7.5" customHeight="1" x14ac:dyDescent="0.25"/>
    <row r="59" spans="2:14" s="145" customFormat="1" ht="13.8" x14ac:dyDescent="0.3">
      <c r="B59" s="142" t="s">
        <v>186</v>
      </c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4"/>
    </row>
    <row r="60" spans="2:14" s="145" customFormat="1" ht="13.8" x14ac:dyDescent="0.3">
      <c r="B60" s="146" t="s">
        <v>187</v>
      </c>
      <c r="C60" s="147" t="s">
        <v>188</v>
      </c>
      <c r="E60" s="148" t="s">
        <v>189</v>
      </c>
      <c r="F60" s="149" t="s">
        <v>190</v>
      </c>
      <c r="G60" s="147"/>
      <c r="H60" s="148" t="s">
        <v>191</v>
      </c>
      <c r="I60" s="149" t="s">
        <v>192</v>
      </c>
      <c r="K60" s="148" t="s">
        <v>193</v>
      </c>
      <c r="L60" s="149" t="s">
        <v>194</v>
      </c>
      <c r="M60" s="147"/>
      <c r="N60" s="150"/>
    </row>
    <row r="61" spans="2:14" s="145" customFormat="1" ht="13.8" x14ac:dyDescent="0.3">
      <c r="B61" s="151"/>
      <c r="C61" s="152" t="s">
        <v>194</v>
      </c>
      <c r="E61" s="55" t="s">
        <v>195</v>
      </c>
      <c r="F61" s="145" t="s">
        <v>196</v>
      </c>
      <c r="H61" s="55" t="s">
        <v>197</v>
      </c>
      <c r="I61" s="145" t="s">
        <v>198</v>
      </c>
      <c r="L61" s="145" t="s">
        <v>199</v>
      </c>
      <c r="N61" s="153"/>
    </row>
    <row r="62" spans="2:14" s="145" customFormat="1" ht="13.8" x14ac:dyDescent="0.3">
      <c r="B62" s="151"/>
      <c r="C62" s="145" t="s">
        <v>200</v>
      </c>
      <c r="F62" s="145" t="s">
        <v>201</v>
      </c>
      <c r="I62" s="145" t="s">
        <v>202</v>
      </c>
      <c r="L62" s="145" t="s">
        <v>203</v>
      </c>
      <c r="N62" s="153"/>
    </row>
    <row r="63" spans="2:14" s="145" customFormat="1" ht="13.8" x14ac:dyDescent="0.3">
      <c r="B63" s="151"/>
      <c r="C63" s="145" t="s">
        <v>204</v>
      </c>
      <c r="F63" s="145" t="s">
        <v>205</v>
      </c>
      <c r="I63" s="145" t="s">
        <v>206</v>
      </c>
      <c r="L63" s="145" t="s">
        <v>207</v>
      </c>
      <c r="N63" s="153"/>
    </row>
    <row r="64" spans="2:14" s="145" customFormat="1" ht="13.8" x14ac:dyDescent="0.3">
      <c r="B64" s="151"/>
      <c r="C64" s="145" t="s">
        <v>208</v>
      </c>
      <c r="F64" s="145" t="s">
        <v>209</v>
      </c>
      <c r="I64" s="145" t="s">
        <v>210</v>
      </c>
      <c r="L64" s="145" t="s">
        <v>211</v>
      </c>
      <c r="N64" s="153"/>
    </row>
    <row r="65" spans="2:14" s="145" customFormat="1" ht="13.8" x14ac:dyDescent="0.3">
      <c r="B65" s="151"/>
      <c r="C65" s="145" t="s">
        <v>212</v>
      </c>
      <c r="F65" s="145" t="s">
        <v>213</v>
      </c>
      <c r="L65" s="145" t="s">
        <v>214</v>
      </c>
      <c r="N65" s="153"/>
    </row>
    <row r="66" spans="2:14" s="145" customFormat="1" ht="13.8" x14ac:dyDescent="0.3">
      <c r="B66" s="151"/>
      <c r="C66" s="145" t="s">
        <v>215</v>
      </c>
      <c r="F66" s="145" t="s">
        <v>216</v>
      </c>
      <c r="L66" s="145" t="s">
        <v>217</v>
      </c>
      <c r="N66" s="153"/>
    </row>
    <row r="67" spans="2:14" s="145" customFormat="1" ht="13.8" x14ac:dyDescent="0.3">
      <c r="B67" s="151"/>
      <c r="C67" s="145" t="s">
        <v>218</v>
      </c>
      <c r="F67" s="145" t="s">
        <v>219</v>
      </c>
      <c r="L67" s="145" t="s">
        <v>220</v>
      </c>
      <c r="N67" s="153"/>
    </row>
    <row r="68" spans="2:14" s="145" customFormat="1" ht="13.8" x14ac:dyDescent="0.3">
      <c r="B68" s="151"/>
      <c r="C68" s="145" t="s">
        <v>221</v>
      </c>
      <c r="F68" s="145" t="s">
        <v>222</v>
      </c>
      <c r="L68" s="145" t="s">
        <v>223</v>
      </c>
      <c r="N68" s="153"/>
    </row>
    <row r="69" spans="2:14" s="145" customFormat="1" ht="13.8" x14ac:dyDescent="0.3">
      <c r="B69" s="151"/>
      <c r="F69" s="154" t="s">
        <v>224</v>
      </c>
      <c r="G69" s="154"/>
      <c r="N69" s="153"/>
    </row>
    <row r="70" spans="2:14" s="145" customFormat="1" ht="13.8" x14ac:dyDescent="0.3">
      <c r="B70" s="155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6"/>
    </row>
    <row r="71" spans="2:14" s="145" customFormat="1" ht="13.8" x14ac:dyDescent="0.3"/>
    <row r="72" spans="2:14" s="145" customFormat="1" ht="12" customHeight="1" x14ac:dyDescent="0.3">
      <c r="B72" s="157" t="s">
        <v>225</v>
      </c>
      <c r="C72" s="158"/>
      <c r="E72" s="159" t="s">
        <v>226</v>
      </c>
      <c r="F72" s="160"/>
      <c r="G72" s="161"/>
      <c r="I72" s="159" t="s">
        <v>227</v>
      </c>
      <c r="J72" s="159"/>
      <c r="K72" s="162"/>
    </row>
    <row r="73" spans="2:14" s="145" customFormat="1" ht="12" customHeight="1" x14ac:dyDescent="0.3">
      <c r="B73" s="163" t="s">
        <v>190</v>
      </c>
      <c r="C73" s="164"/>
      <c r="E73" s="163" t="s">
        <v>190</v>
      </c>
      <c r="G73" s="164"/>
      <c r="I73" s="163" t="s">
        <v>190</v>
      </c>
      <c r="K73" s="164"/>
    </row>
    <row r="74" spans="2:14" s="145" customFormat="1" ht="12" customHeight="1" x14ac:dyDescent="0.3">
      <c r="B74" s="151" t="s">
        <v>228</v>
      </c>
      <c r="C74" s="164"/>
      <c r="E74" s="151" t="s">
        <v>229</v>
      </c>
      <c r="F74" s="55"/>
      <c r="G74" s="164"/>
      <c r="I74" s="151" t="s">
        <v>230</v>
      </c>
      <c r="J74" s="55"/>
      <c r="K74" s="164"/>
    </row>
    <row r="75" spans="2:14" s="145" customFormat="1" ht="12" customHeight="1" x14ac:dyDescent="0.3">
      <c r="B75" s="151" t="s">
        <v>231</v>
      </c>
      <c r="C75" s="164"/>
      <c r="E75" s="165" t="s">
        <v>232</v>
      </c>
      <c r="F75" s="166"/>
      <c r="G75" s="167"/>
      <c r="I75" s="151" t="s">
        <v>233</v>
      </c>
      <c r="K75" s="164"/>
    </row>
    <row r="76" spans="2:14" s="145" customFormat="1" ht="12" customHeight="1" x14ac:dyDescent="0.3">
      <c r="B76" s="151" t="s">
        <v>234</v>
      </c>
      <c r="C76" s="168"/>
      <c r="E76" s="151"/>
      <c r="G76" s="168"/>
      <c r="I76" s="155" t="s">
        <v>235</v>
      </c>
      <c r="J76" s="154"/>
      <c r="K76" s="169"/>
    </row>
    <row r="77" spans="2:14" s="145" customFormat="1" ht="12" customHeight="1" x14ac:dyDescent="0.3">
      <c r="B77" s="151"/>
      <c r="C77" s="164"/>
      <c r="E77" s="163" t="s">
        <v>236</v>
      </c>
      <c r="G77" s="164"/>
    </row>
    <row r="78" spans="2:14" s="145" customFormat="1" ht="12" customHeight="1" x14ac:dyDescent="0.3">
      <c r="B78" s="163" t="s">
        <v>237</v>
      </c>
      <c r="C78" s="164"/>
      <c r="E78" s="155" t="s">
        <v>238</v>
      </c>
      <c r="F78" s="154"/>
      <c r="G78" s="170"/>
    </row>
    <row r="79" spans="2:14" s="145" customFormat="1" ht="12" customHeight="1" x14ac:dyDescent="0.3">
      <c r="B79" s="171" t="s">
        <v>239</v>
      </c>
      <c r="C79" s="170"/>
      <c r="F79" s="55"/>
    </row>
    <row r="80" spans="2:14" s="145" customFormat="1" ht="13.8" x14ac:dyDescent="0.3"/>
    <row r="81" spans="2:12" s="145" customFormat="1" ht="12" customHeight="1" x14ac:dyDescent="0.3">
      <c r="B81" s="204" t="s">
        <v>240</v>
      </c>
      <c r="C81" s="205"/>
      <c r="D81" s="206"/>
    </row>
    <row r="82" spans="2:12" s="145" customFormat="1" ht="12" customHeight="1" x14ac:dyDescent="0.3">
      <c r="B82" s="172" t="s">
        <v>241</v>
      </c>
      <c r="D82" s="164"/>
    </row>
    <row r="83" spans="2:12" ht="14.4" x14ac:dyDescent="0.3">
      <c r="B83" s="173"/>
      <c r="C83" s="173"/>
      <c r="D83" s="173"/>
      <c r="H83"/>
      <c r="I83"/>
      <c r="J83"/>
      <c r="K83"/>
      <c r="L83"/>
    </row>
  </sheetData>
  <mergeCells count="6">
    <mergeCell ref="B81:D81"/>
    <mergeCell ref="B27:E27"/>
    <mergeCell ref="B28:E28"/>
    <mergeCell ref="B40:E40"/>
    <mergeCell ref="B50:E50"/>
    <mergeCell ref="B54:E5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B0B5-BBDB-4DF4-87BC-800D8E1C0E17}">
  <sheetPr>
    <tabColor theme="3" tint="-0.249977111117893"/>
  </sheetPr>
  <dimension ref="B3:O83"/>
  <sheetViews>
    <sheetView showGridLines="0" zoomScale="77" zoomScaleNormal="77" workbookViewId="0">
      <pane xSplit="5" ySplit="9" topLeftCell="F58" activePane="bottomRight" state="frozen"/>
      <selection activeCell="E72" sqref="E72"/>
      <selection pane="topRight" activeCell="E72" sqref="E72"/>
      <selection pane="bottomLeft" activeCell="E72" sqref="E72"/>
      <selection pane="bottomRight" activeCell="E72" sqref="E72"/>
    </sheetView>
  </sheetViews>
  <sheetFormatPr baseColWidth="10" defaultColWidth="11.44140625" defaultRowHeight="12" x14ac:dyDescent="0.25"/>
  <cols>
    <col min="1" max="1" width="1.6640625" style="52" customWidth="1"/>
    <col min="2" max="2" width="23.6640625" style="52" customWidth="1"/>
    <col min="3" max="3" width="24.33203125" style="52" customWidth="1"/>
    <col min="4" max="4" width="16.109375" style="52" customWidth="1"/>
    <col min="5" max="5" width="22.33203125" style="52" customWidth="1"/>
    <col min="6" max="10" width="12.88671875" style="52" customWidth="1"/>
    <col min="11" max="11" width="15.109375" style="52" customWidth="1"/>
    <col min="12" max="12" width="12.88671875" style="52" customWidth="1"/>
    <col min="13" max="13" width="12.109375" style="52" customWidth="1"/>
    <col min="14" max="14" width="13.44140625" style="52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242</v>
      </c>
      <c r="D3" s="51"/>
      <c r="G3" s="53"/>
    </row>
    <row r="4" spans="2:15" ht="13.8" x14ac:dyDescent="0.3">
      <c r="B4" s="54" t="s">
        <v>7</v>
      </c>
      <c r="C4" s="52" t="s">
        <v>243</v>
      </c>
      <c r="D4" s="55"/>
    </row>
    <row r="5" spans="2:15" x14ac:dyDescent="0.25">
      <c r="B5" s="54" t="s">
        <v>113</v>
      </c>
      <c r="C5" s="52" t="s">
        <v>244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174">
        <f>+F28+F40+F50+F54</f>
        <v>0</v>
      </c>
      <c r="G6" s="174">
        <f t="shared" ref="G6:N6" si="0">+G28+G40+G50+G54</f>
        <v>878.43330000000003</v>
      </c>
      <c r="H6" s="174">
        <f t="shared" si="0"/>
        <v>1236.1066400000004</v>
      </c>
      <c r="I6" s="174">
        <f t="shared" si="0"/>
        <v>1923.1345000000001</v>
      </c>
      <c r="J6" s="174">
        <f t="shared" si="0"/>
        <v>1685.9316400000002</v>
      </c>
      <c r="K6" s="174">
        <f t="shared" si="0"/>
        <v>940.61929999999995</v>
      </c>
      <c r="L6" s="174">
        <f t="shared" si="0"/>
        <v>3332.2676400000005</v>
      </c>
      <c r="M6" s="174">
        <f t="shared" si="0"/>
        <v>1812.0316</v>
      </c>
      <c r="N6" s="174">
        <f t="shared" si="0"/>
        <v>1515.9436400000002</v>
      </c>
    </row>
    <row r="7" spans="2:15" x14ac:dyDescent="0.25">
      <c r="B7" s="59" t="s">
        <v>124</v>
      </c>
      <c r="F7" s="60">
        <f>F27*[1]Precios!$I$6+F32*IFERROR(VLOOKUP($B$32,REP_COST,9,0),0)+F33*IFERROR(VLOOKUP($B$33,REP_COST,9,0),0)+F34*IFERROR(VLOOKUP($B$34,REP_COST,9,0),0)+F35*IFERROR(VLOOKUP($B$35,REP_COST,9,0),0)+F36*IFERROR(VLOOKUP($B$36,REP_COST,9,0),0)+F37*IFERROR(VLOOKUP($B$37,REP_COST,9,0),0)+F45*IFERROR(VLOOKUP($B$45,REP_COST,9,0),0)+F46*IFERROR(VLOOKUP($B$46,REP_COST,9,0),0)+F47*IFERROR(VLOOKUP($B$47,REP_COST,9,0),0)+F48*IFERROR(VLOOKUP($B$48,REP_COST,9,0),0)+IF(F54&gt;0,[1]Precios!$I$9,0)</f>
        <v>61.949999999999996</v>
      </c>
      <c r="G7" s="60">
        <f>G27*[1]Precios!$I$6+G32*IFERROR(VLOOKUP($B$32,REP_COST,9,0),0)+G33*IFERROR(VLOOKUP($B$33,REP_COST,9,0),0)+G34*IFERROR(VLOOKUP($B$34,REP_COST,9,0),0)+G35*IFERROR(VLOOKUP($B$35,REP_COST,9,0),0)+G36*IFERROR(VLOOKUP($B$36,REP_COST,9,0),0)+G37*IFERROR(VLOOKUP($B$37,REP_COST,9,0),0)+G45*IFERROR(VLOOKUP($B$45,REP_COST,9,0),0)+G46*IFERROR(VLOOKUP($B$46,REP_COST,9,0),0)+G47*IFERROR(VLOOKUP($B$47,REP_COST,9,0),0)+G48*IFERROR(VLOOKUP($B$48,REP_COST,9,0),0)+IF(G54&gt;0,[1]Precios!$I$9,0)</f>
        <v>363.90019999999998</v>
      </c>
      <c r="H7" s="60">
        <f>H27*[1]Precios!$I$6+H32*IFERROR(VLOOKUP($B$32,REP_COST,9,0),0)+H33*IFERROR(VLOOKUP($B$33,REP_COST,9,0),0)+H34*IFERROR(VLOOKUP($B$34,REP_COST,9,0),0)+H35*IFERROR(VLOOKUP($B$35,REP_COST,9,0),0)+H36*IFERROR(VLOOKUP($B$36,REP_COST,9,0),0)+H37*IFERROR(VLOOKUP($B$37,REP_COST,9,0),0)+H45*IFERROR(VLOOKUP($B$45,REP_COST,9,0),0)+H46*IFERROR(VLOOKUP($B$46,REP_COST,9,0),0)+H47*IFERROR(VLOOKUP($B$47,REP_COST,9,0),0)+H48*IFERROR(VLOOKUP($B$48,REP_COST,9,0),0)+IF(H54&gt;0,[1]Precios!$I$9,0)</f>
        <v>461.36720000000003</v>
      </c>
      <c r="I7" s="60">
        <f>I27*[1]Precios!$I$6+I32*IFERROR(VLOOKUP($B$32,REP_COST,9,0),0)+I33*IFERROR(VLOOKUP($B$33,REP_COST,9,0),0)+I34*IFERROR(VLOOKUP($B$34,REP_COST,9,0),0)+I35*IFERROR(VLOOKUP($B$35,REP_COST,9,0),0)+I36*IFERROR(VLOOKUP($B$36,REP_COST,9,0),0)+I37*IFERROR(VLOOKUP($B$37,REP_COST,9,0),0)+I45*IFERROR(VLOOKUP($B$45,REP_COST,9,0),0)+I46*IFERROR(VLOOKUP($B$46,REP_COST,9,0),0)+I47*IFERROR(VLOOKUP($B$47,REP_COST,9,0),0)+I48*IFERROR(VLOOKUP($B$48,REP_COST,9,0),0)+IF(I54&gt;0,[1]Precios!$I$9,0)</f>
        <v>852.27859999999998</v>
      </c>
      <c r="J7" s="60">
        <f>J27*[1]Precios!$I$6+J32*IFERROR(VLOOKUP($B$32,REP_COST,9,0),0)+J33*IFERROR(VLOOKUP($B$33,REP_COST,9,0),0)+J34*IFERROR(VLOOKUP($B$34,REP_COST,9,0),0)+J35*IFERROR(VLOOKUP($B$35,REP_COST,9,0),0)+J36*IFERROR(VLOOKUP($B$36,REP_COST,9,0),0)+J37*IFERROR(VLOOKUP($B$37,REP_COST,9,0),0)+J45*IFERROR(VLOOKUP($B$45,REP_COST,9,0),0)+J46*IFERROR(VLOOKUP($B$46,REP_COST,9,0),0)+J47*IFERROR(VLOOKUP($B$47,REP_COST,9,0),0)+J48*IFERROR(VLOOKUP($B$48,REP_COST,9,0),0)+IF(J54&gt;0,[1]Precios!$I$9,0)</f>
        <v>634.60064000000011</v>
      </c>
      <c r="K7" s="60">
        <f>K27*[1]Precios!$I$6+K32*IFERROR(VLOOKUP($B$32,REP_COST,9,0),0)+K33*IFERROR(VLOOKUP($B$33,REP_COST,9,0),0)+K34*IFERROR(VLOOKUP($B$34,REP_COST,9,0),0)+K35*IFERROR(VLOOKUP($B$35,REP_COST,9,0),0)+K36*IFERROR(VLOOKUP($B$36,REP_COST,9,0),0)+K37*IFERROR(VLOOKUP($B$37,REP_COST,9,0),0)+K45*IFERROR(VLOOKUP($B$45,REP_COST,9,0),0)+K46*IFERROR(VLOOKUP($B$46,REP_COST,9,0),0)+K47*IFERROR(VLOOKUP($B$47,REP_COST,9,0),0)+K48*IFERROR(VLOOKUP($B$48,REP_COST,9,0),0)+IF(K54&gt;0,[1]Precios!$I$9,0)</f>
        <v>381.60019999999997</v>
      </c>
      <c r="L7" s="60">
        <f>L27*[1]Precios!$I$6+L32*IFERROR(VLOOKUP($B$32,REP_COST,9,0),0)+L33*IFERROR(VLOOKUP($B$33,REP_COST,9,0),0)+L34*IFERROR(VLOOKUP($B$34,REP_COST,9,0),0)+L35*IFERROR(VLOOKUP($B$35,REP_COST,9,0),0)+L36*IFERROR(VLOOKUP($B$36,REP_COST,9,0),0)+L37*IFERROR(VLOOKUP($B$37,REP_COST,9,0),0)+L45*IFERROR(VLOOKUP($B$45,REP_COST,9,0),0)+L46*IFERROR(VLOOKUP($B$46,REP_COST,9,0),0)+L47*IFERROR(VLOOKUP($B$47,REP_COST,9,0),0)+L48*IFERROR(VLOOKUP($B$48,REP_COST,9,0),0)+IF(L54&gt;0,[1]Precios!$I$9,0)</f>
        <v>1492.4842400000002</v>
      </c>
      <c r="M7" s="60">
        <f>M27*[1]Precios!$I$6+M32*IFERROR(VLOOKUP($B$32,REP_COST,9,0),0)+M33*IFERROR(VLOOKUP($B$33,REP_COST,9,0),0)+M34*IFERROR(VLOOKUP($B$34,REP_COST,9,0),0)+M35*IFERROR(VLOOKUP($B$35,REP_COST,9,0),0)+M36*IFERROR(VLOOKUP($B$36,REP_COST,9,0),0)+M37*IFERROR(VLOOKUP($B$37,REP_COST,9,0),0)+M45*IFERROR(VLOOKUP($B$45,REP_COST,9,0),0)+M46*IFERROR(VLOOKUP($B$46,REP_COST,9,0),0)+M47*IFERROR(VLOOKUP($B$47,REP_COST,9,0),0)+M48*IFERROR(VLOOKUP($B$48,REP_COST,9,0),0)+IF(M54&gt;0,[1]Precios!$I$9,0)</f>
        <v>927.00799999999992</v>
      </c>
      <c r="N7" s="60">
        <f>N27*[1]Precios!$I$6+N32*IFERROR(VLOOKUP($B$32,REP_COST,9,0),0)+N33*IFERROR(VLOOKUP($B$33,REP_COST,9,0),0)+N34*IFERROR(VLOOKUP($B$34,REP_COST,9,0),0)+N35*IFERROR(VLOOKUP($B$35,REP_COST,9,0),0)+N36*IFERROR(VLOOKUP($B$36,REP_COST,9,0),0)+N37*IFERROR(VLOOKUP($B$37,REP_COST,9,0),0)+N45*IFERROR(VLOOKUP($B$45,REP_COST,9,0),0)+N46*IFERROR(VLOOKUP($B$46,REP_COST,9,0),0)+N47*IFERROR(VLOOKUP($B$47,REP_COST,9,0),0)+N48*IFERROR(VLOOKUP($B$48,REP_COST,9,0),0)+IF(N54&gt;0,[1]Precios!$I$9,0)</f>
        <v>541.01720000000012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s="82" customFormat="1" ht="12" customHeight="1" x14ac:dyDescent="0.25">
      <c r="B11" s="76">
        <v>1</v>
      </c>
      <c r="C11" s="77" t="s">
        <v>141</v>
      </c>
      <c r="D11" s="77"/>
      <c r="E11" s="78"/>
      <c r="F11" s="79"/>
      <c r="G11" s="80">
        <v>0.7</v>
      </c>
      <c r="H11" s="80">
        <v>0.7</v>
      </c>
      <c r="I11" s="80">
        <v>0.7</v>
      </c>
      <c r="J11" s="80">
        <v>0.7</v>
      </c>
      <c r="K11" s="80">
        <v>0.7</v>
      </c>
      <c r="L11" s="80">
        <v>0.7</v>
      </c>
      <c r="M11" s="80">
        <v>0.7</v>
      </c>
      <c r="N11" s="81">
        <v>0.7</v>
      </c>
    </row>
    <row r="12" spans="2:15" s="82" customFormat="1" ht="12" customHeight="1" x14ac:dyDescent="0.25">
      <c r="B12" s="83">
        <v>2</v>
      </c>
      <c r="C12" s="84" t="s">
        <v>142</v>
      </c>
      <c r="D12" s="84"/>
      <c r="E12" s="85"/>
      <c r="F12" s="79">
        <v>0.2</v>
      </c>
      <c r="G12" s="80">
        <v>0.2</v>
      </c>
      <c r="H12" s="80">
        <v>0.2</v>
      </c>
      <c r="I12" s="80">
        <v>0.2</v>
      </c>
      <c r="J12" s="80">
        <v>0.2</v>
      </c>
      <c r="K12" s="80">
        <v>0.2</v>
      </c>
      <c r="L12" s="80">
        <v>0.2</v>
      </c>
      <c r="M12" s="80">
        <v>0.2</v>
      </c>
      <c r="N12" s="81">
        <v>0.2</v>
      </c>
    </row>
    <row r="13" spans="2:15" s="82" customFormat="1" ht="12" customHeight="1" x14ac:dyDescent="0.25">
      <c r="B13" s="83">
        <v>3</v>
      </c>
      <c r="C13" s="84" t="s">
        <v>143</v>
      </c>
      <c r="D13" s="84"/>
      <c r="E13" s="85"/>
      <c r="F13" s="79"/>
      <c r="G13" s="80"/>
      <c r="H13" s="80"/>
      <c r="I13" s="80">
        <v>0.4</v>
      </c>
      <c r="J13" s="80"/>
      <c r="K13" s="80"/>
      <c r="L13" s="80">
        <v>0.4</v>
      </c>
      <c r="M13" s="80"/>
      <c r="N13" s="81"/>
    </row>
    <row r="14" spans="2:15" s="82" customFormat="1" ht="12" customHeight="1" x14ac:dyDescent="0.25">
      <c r="B14" s="83">
        <v>4</v>
      </c>
      <c r="C14" s="84" t="s">
        <v>144</v>
      </c>
      <c r="D14" s="84"/>
      <c r="E14" s="85"/>
      <c r="F14" s="79"/>
      <c r="G14" s="80"/>
      <c r="H14" s="80"/>
      <c r="I14" s="80">
        <v>0.8</v>
      </c>
      <c r="J14" s="80"/>
      <c r="K14" s="80"/>
      <c r="L14" s="80">
        <v>0.8</v>
      </c>
      <c r="M14" s="80"/>
      <c r="N14" s="81"/>
    </row>
    <row r="15" spans="2:15" s="82" customFormat="1" ht="12" customHeight="1" x14ac:dyDescent="0.25">
      <c r="B15" s="83">
        <v>5</v>
      </c>
      <c r="C15" s="84" t="s">
        <v>145</v>
      </c>
      <c r="D15" s="84"/>
      <c r="E15" s="85"/>
      <c r="F15" s="79"/>
      <c r="G15" s="80"/>
      <c r="H15" s="80"/>
      <c r="I15" s="80"/>
      <c r="J15" s="80"/>
      <c r="K15" s="80"/>
      <c r="L15" s="80">
        <v>0.6</v>
      </c>
      <c r="M15" s="80"/>
      <c r="N15" s="81"/>
    </row>
    <row r="16" spans="2:15" s="82" customFormat="1" ht="12" customHeight="1" x14ac:dyDescent="0.25">
      <c r="B16" s="83">
        <v>6</v>
      </c>
      <c r="C16" s="84" t="s">
        <v>146</v>
      </c>
      <c r="D16" s="84"/>
      <c r="E16" s="85"/>
      <c r="F16" s="79"/>
      <c r="G16" s="80"/>
      <c r="H16" s="80">
        <v>0.8</v>
      </c>
      <c r="I16" s="80"/>
      <c r="J16" s="80">
        <v>0.8</v>
      </c>
      <c r="K16" s="80"/>
      <c r="L16" s="80">
        <v>0.8</v>
      </c>
      <c r="M16" s="80"/>
      <c r="N16" s="81">
        <v>0.8</v>
      </c>
    </row>
    <row r="17" spans="2:14" s="82" customFormat="1" ht="12" customHeight="1" x14ac:dyDescent="0.25">
      <c r="B17" s="83">
        <v>7</v>
      </c>
      <c r="C17" s="84" t="s">
        <v>147</v>
      </c>
      <c r="D17" s="84"/>
      <c r="E17" s="85"/>
      <c r="F17" s="79"/>
      <c r="G17" s="80"/>
      <c r="H17" s="80"/>
      <c r="I17" s="80">
        <v>0.5</v>
      </c>
      <c r="J17" s="80"/>
      <c r="K17" s="80"/>
      <c r="L17" s="80">
        <v>0.5</v>
      </c>
      <c r="M17" s="80"/>
      <c r="N17" s="81"/>
    </row>
    <row r="18" spans="2:14" s="82" customFormat="1" ht="12" customHeight="1" x14ac:dyDescent="0.25">
      <c r="B18" s="83">
        <v>8</v>
      </c>
      <c r="C18" s="84" t="s">
        <v>148</v>
      </c>
      <c r="D18" s="84"/>
      <c r="E18" s="85"/>
      <c r="F18" s="79"/>
      <c r="G18" s="80"/>
      <c r="H18" s="80"/>
      <c r="I18" s="80"/>
      <c r="J18" s="80">
        <v>0.5</v>
      </c>
      <c r="K18" s="80"/>
      <c r="L18" s="80">
        <v>0.5</v>
      </c>
      <c r="M18" s="80"/>
      <c r="N18" s="81">
        <v>0.5</v>
      </c>
    </row>
    <row r="19" spans="2:14" s="82" customFormat="1" ht="12" customHeight="1" x14ac:dyDescent="0.25">
      <c r="B19" s="83">
        <v>9</v>
      </c>
      <c r="C19" s="84" t="s">
        <v>149</v>
      </c>
      <c r="D19" s="84"/>
      <c r="E19" s="85"/>
      <c r="F19" s="79"/>
      <c r="G19" s="80"/>
      <c r="H19" s="80"/>
      <c r="I19" s="80"/>
      <c r="J19" s="80"/>
      <c r="K19" s="80"/>
      <c r="L19" s="80"/>
      <c r="M19" s="80">
        <v>0.7</v>
      </c>
      <c r="N19" s="81"/>
    </row>
    <row r="20" spans="2:14" s="82" customFormat="1" ht="12" customHeight="1" x14ac:dyDescent="0.25">
      <c r="B20" s="83">
        <v>10</v>
      </c>
      <c r="C20" s="84" t="s">
        <v>150</v>
      </c>
      <c r="D20" s="84"/>
      <c r="E20" s="85"/>
      <c r="F20" s="79">
        <v>0.5</v>
      </c>
      <c r="G20" s="80">
        <v>0.5</v>
      </c>
      <c r="H20" s="80">
        <v>0.5</v>
      </c>
      <c r="I20" s="80">
        <v>0.5</v>
      </c>
      <c r="J20" s="80">
        <v>0.5</v>
      </c>
      <c r="K20" s="80">
        <v>0.5</v>
      </c>
      <c r="L20" s="80">
        <v>0.5</v>
      </c>
      <c r="M20" s="80">
        <v>0.5</v>
      </c>
      <c r="N20" s="81">
        <v>0.5</v>
      </c>
    </row>
    <row r="21" spans="2:14" s="82" customFormat="1" ht="12" customHeight="1" x14ac:dyDescent="0.25">
      <c r="B21" s="83">
        <v>11</v>
      </c>
      <c r="C21" s="84" t="s">
        <v>151</v>
      </c>
      <c r="D21" s="84"/>
      <c r="E21" s="85"/>
      <c r="F21" s="79"/>
      <c r="G21" s="80">
        <v>0.2</v>
      </c>
      <c r="H21" s="80">
        <v>0.2</v>
      </c>
      <c r="I21" s="80">
        <v>0.2</v>
      </c>
      <c r="J21" s="80">
        <v>0.2</v>
      </c>
      <c r="K21" s="80">
        <v>0.2</v>
      </c>
      <c r="L21" s="80">
        <v>0.2</v>
      </c>
      <c r="M21" s="80">
        <v>0.2</v>
      </c>
      <c r="N21" s="81">
        <v>0.2</v>
      </c>
    </row>
    <row r="22" spans="2:14" s="82" customFormat="1" ht="12" customHeight="1" x14ac:dyDescent="0.25">
      <c r="B22" s="83">
        <v>12</v>
      </c>
      <c r="C22" s="84" t="s">
        <v>152</v>
      </c>
      <c r="D22" s="84"/>
      <c r="E22" s="85"/>
      <c r="F22" s="79"/>
      <c r="G22" s="80"/>
      <c r="H22" s="80">
        <v>0.2</v>
      </c>
      <c r="I22" s="80"/>
      <c r="J22" s="80">
        <v>0.2</v>
      </c>
      <c r="K22" s="80"/>
      <c r="L22" s="80">
        <v>0.2</v>
      </c>
      <c r="M22" s="80"/>
      <c r="N22" s="81">
        <v>0.2</v>
      </c>
    </row>
    <row r="23" spans="2:14" s="82" customFormat="1" ht="12" customHeight="1" x14ac:dyDescent="0.25">
      <c r="B23" s="83">
        <v>13</v>
      </c>
      <c r="C23" s="84" t="s">
        <v>153</v>
      </c>
      <c r="D23" s="84"/>
      <c r="E23" s="85"/>
      <c r="F23" s="79"/>
      <c r="G23" s="80"/>
      <c r="H23" s="80"/>
      <c r="I23" s="80"/>
      <c r="J23" s="80"/>
      <c r="K23" s="80">
        <v>0.2</v>
      </c>
      <c r="L23" s="80"/>
      <c r="M23" s="80"/>
      <c r="N23" s="81">
        <v>0.2</v>
      </c>
    </row>
    <row r="24" spans="2:14" s="82" customFormat="1" ht="12" customHeight="1" x14ac:dyDescent="0.25">
      <c r="B24" s="83">
        <v>14</v>
      </c>
      <c r="C24" s="84" t="s">
        <v>154</v>
      </c>
      <c r="D24" s="84"/>
      <c r="E24" s="85"/>
      <c r="F24" s="79"/>
      <c r="G24" s="80"/>
      <c r="H24" s="80"/>
      <c r="I24" s="80"/>
      <c r="J24" s="80">
        <v>0.2</v>
      </c>
      <c r="K24" s="80"/>
      <c r="L24" s="80"/>
      <c r="M24" s="80"/>
      <c r="N24" s="81">
        <v>0.2</v>
      </c>
    </row>
    <row r="25" spans="2:14" s="82" customFormat="1" ht="12" customHeight="1" x14ac:dyDescent="0.25">
      <c r="B25" s="83">
        <v>15</v>
      </c>
      <c r="C25" s="84" t="s">
        <v>155</v>
      </c>
      <c r="D25" s="84"/>
      <c r="E25" s="85"/>
      <c r="F25" s="79"/>
      <c r="G25" s="80">
        <v>0.2</v>
      </c>
      <c r="H25" s="80">
        <v>0.2</v>
      </c>
      <c r="I25" s="80">
        <v>0.2</v>
      </c>
      <c r="J25" s="80">
        <v>0.2</v>
      </c>
      <c r="K25" s="80">
        <v>0.2</v>
      </c>
      <c r="L25" s="80">
        <v>0.2</v>
      </c>
      <c r="M25" s="80">
        <v>0.2</v>
      </c>
      <c r="N25" s="81">
        <v>0.2</v>
      </c>
    </row>
    <row r="26" spans="2:14" s="82" customFormat="1" ht="12" customHeight="1" x14ac:dyDescent="0.25">
      <c r="B26" s="83"/>
      <c r="C26" s="84"/>
      <c r="D26" s="84"/>
      <c r="E26" s="85"/>
      <c r="F26" s="79"/>
      <c r="G26" s="80"/>
      <c r="H26" s="80"/>
      <c r="I26" s="80"/>
      <c r="J26" s="80"/>
      <c r="K26" s="80"/>
      <c r="L26" s="80"/>
      <c r="M26" s="80"/>
      <c r="N26" s="81"/>
    </row>
    <row r="27" spans="2:14" ht="12" customHeight="1" x14ac:dyDescent="0.25">
      <c r="B27" s="202" t="s">
        <v>156</v>
      </c>
      <c r="C27" s="203"/>
      <c r="D27" s="203"/>
      <c r="E27" s="203"/>
      <c r="F27" s="86">
        <f>SUM(F11:F26)</f>
        <v>0.7</v>
      </c>
      <c r="G27" s="87">
        <f t="shared" ref="G27:N27" si="1">SUM(G11:G26)</f>
        <v>1.7999999999999998</v>
      </c>
      <c r="H27" s="87">
        <f t="shared" si="1"/>
        <v>2.8000000000000007</v>
      </c>
      <c r="I27" s="87">
        <f t="shared" si="1"/>
        <v>3.5</v>
      </c>
      <c r="J27" s="87">
        <f t="shared" si="1"/>
        <v>3.5000000000000009</v>
      </c>
      <c r="K27" s="87">
        <f t="shared" si="1"/>
        <v>1.9999999999999998</v>
      </c>
      <c r="L27" s="87">
        <f t="shared" si="1"/>
        <v>5.6000000000000005</v>
      </c>
      <c r="M27" s="87">
        <f t="shared" si="1"/>
        <v>2.5</v>
      </c>
      <c r="N27" s="88">
        <f t="shared" si="1"/>
        <v>3.7000000000000011</v>
      </c>
    </row>
    <row r="28" spans="2:14" ht="12" customHeight="1" x14ac:dyDescent="0.25">
      <c r="B28" s="202" t="s">
        <v>157</v>
      </c>
      <c r="C28" s="203"/>
      <c r="D28" s="203"/>
      <c r="E28" s="203"/>
      <c r="F28" s="89">
        <v>0</v>
      </c>
      <c r="G28" s="90">
        <f>+G27*HH</f>
        <v>559.67399999999998</v>
      </c>
      <c r="H28" s="92">
        <f t="shared" ref="H28:N28" si="2">+H27*HH</f>
        <v>870.60400000000027</v>
      </c>
      <c r="I28" s="92">
        <f t="shared" si="2"/>
        <v>1088.2550000000001</v>
      </c>
      <c r="J28" s="92">
        <f t="shared" si="2"/>
        <v>1088.2550000000003</v>
      </c>
      <c r="K28" s="92">
        <f t="shared" si="2"/>
        <v>621.8599999999999</v>
      </c>
      <c r="L28" s="92">
        <f t="shared" si="2"/>
        <v>1741.2080000000003</v>
      </c>
      <c r="M28" s="92">
        <f t="shared" si="2"/>
        <v>777.32500000000005</v>
      </c>
      <c r="N28" s="93">
        <f t="shared" si="2"/>
        <v>1150.4410000000003</v>
      </c>
    </row>
    <row r="29" spans="2:14" x14ac:dyDescent="0.25">
      <c r="B29" s="94"/>
      <c r="E29" s="95"/>
      <c r="N29" s="96"/>
    </row>
    <row r="30" spans="2:14" ht="13.5" customHeight="1" x14ac:dyDescent="0.3">
      <c r="B30" s="97" t="s">
        <v>158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9"/>
    </row>
    <row r="31" spans="2:14" x14ac:dyDescent="0.25">
      <c r="B31" s="100" t="s">
        <v>159</v>
      </c>
      <c r="C31" s="101" t="s">
        <v>160</v>
      </c>
      <c r="D31" s="101"/>
      <c r="E31" s="101"/>
      <c r="F31" s="74" t="s">
        <v>161</v>
      </c>
      <c r="G31" s="74"/>
      <c r="H31" s="74"/>
      <c r="I31" s="74"/>
      <c r="J31" s="74"/>
      <c r="K31" s="74"/>
      <c r="L31" s="74"/>
      <c r="M31" s="74"/>
      <c r="N31" s="75"/>
    </row>
    <row r="32" spans="2:14" ht="12" customHeight="1" x14ac:dyDescent="0.25">
      <c r="B32" s="102">
        <v>2630035505</v>
      </c>
      <c r="C32" s="103" t="s">
        <v>163</v>
      </c>
      <c r="D32" s="103"/>
      <c r="E32" s="104"/>
      <c r="F32" s="105"/>
      <c r="G32" s="105">
        <v>1</v>
      </c>
      <c r="H32" s="105">
        <v>1</v>
      </c>
      <c r="I32" s="105">
        <v>1</v>
      </c>
      <c r="J32" s="105">
        <v>1</v>
      </c>
      <c r="K32" s="105">
        <v>1</v>
      </c>
      <c r="L32" s="105">
        <v>1</v>
      </c>
      <c r="M32" s="105">
        <v>1</v>
      </c>
      <c r="N32" s="106">
        <v>1</v>
      </c>
    </row>
    <row r="33" spans="2:14" ht="12" customHeight="1" x14ac:dyDescent="0.25">
      <c r="B33" s="107">
        <v>2151323001</v>
      </c>
      <c r="C33" s="108" t="s">
        <v>164</v>
      </c>
      <c r="D33" s="108"/>
      <c r="E33" s="109"/>
      <c r="F33" s="110"/>
      <c r="G33" s="110">
        <v>1</v>
      </c>
      <c r="H33" s="110">
        <v>1</v>
      </c>
      <c r="I33" s="110">
        <v>1</v>
      </c>
      <c r="J33" s="110">
        <v>1</v>
      </c>
      <c r="K33" s="110">
        <v>1</v>
      </c>
      <c r="L33" s="110">
        <v>1</v>
      </c>
      <c r="M33" s="110">
        <v>1</v>
      </c>
      <c r="N33" s="111">
        <v>1</v>
      </c>
    </row>
    <row r="34" spans="2:14" ht="11.25" customHeight="1" x14ac:dyDescent="0.25">
      <c r="B34" s="112" t="s">
        <v>245</v>
      </c>
      <c r="C34" s="108" t="s">
        <v>166</v>
      </c>
      <c r="D34" s="108"/>
      <c r="E34" s="109"/>
      <c r="F34" s="110"/>
      <c r="G34" s="110"/>
      <c r="H34" s="110"/>
      <c r="I34" s="113">
        <v>1</v>
      </c>
      <c r="J34" s="113"/>
      <c r="K34" s="113"/>
      <c r="L34" s="113">
        <v>1</v>
      </c>
      <c r="M34" s="113"/>
      <c r="N34" s="111"/>
    </row>
    <row r="35" spans="2:14" ht="12" customHeight="1" x14ac:dyDescent="0.25">
      <c r="B35" s="112" t="s">
        <v>246</v>
      </c>
      <c r="C35" s="108" t="s">
        <v>168</v>
      </c>
      <c r="D35" s="108"/>
      <c r="E35" s="109"/>
      <c r="F35" s="110"/>
      <c r="G35" s="110"/>
      <c r="H35" s="110"/>
      <c r="I35" s="113"/>
      <c r="J35" s="113"/>
      <c r="K35" s="113"/>
      <c r="L35" s="113">
        <v>1</v>
      </c>
      <c r="M35" s="113"/>
      <c r="N35" s="111"/>
    </row>
    <row r="36" spans="2:14" ht="12" customHeight="1" x14ac:dyDescent="0.25">
      <c r="B36" s="114" t="s">
        <v>169</v>
      </c>
      <c r="C36" s="115" t="s">
        <v>170</v>
      </c>
      <c r="D36" s="115"/>
      <c r="E36" s="116"/>
      <c r="F36" s="117"/>
      <c r="G36" s="117"/>
      <c r="H36" s="117"/>
      <c r="I36" s="118">
        <v>1</v>
      </c>
      <c r="J36" s="118"/>
      <c r="K36" s="118"/>
      <c r="L36" s="118">
        <v>1</v>
      </c>
      <c r="M36" s="118"/>
      <c r="N36" s="119"/>
    </row>
    <row r="37" spans="2:14" ht="12" customHeight="1" x14ac:dyDescent="0.25">
      <c r="B37" s="114" t="s">
        <v>247</v>
      </c>
      <c r="C37" s="115" t="s">
        <v>172</v>
      </c>
      <c r="D37" s="115"/>
      <c r="E37" s="116"/>
      <c r="F37" s="117"/>
      <c r="G37" s="117"/>
      <c r="H37" s="117"/>
      <c r="I37" s="118"/>
      <c r="J37" s="118"/>
      <c r="K37" s="118"/>
      <c r="L37" s="118"/>
      <c r="M37" s="118">
        <v>1</v>
      </c>
      <c r="N37" s="119"/>
    </row>
    <row r="38" spans="2:14" ht="12" customHeight="1" x14ac:dyDescent="0.25">
      <c r="B38" s="114" t="s">
        <v>173</v>
      </c>
      <c r="C38" s="115"/>
      <c r="D38" s="115"/>
      <c r="E38" s="116"/>
      <c r="F38" s="117"/>
      <c r="G38" s="117"/>
      <c r="H38" s="117"/>
      <c r="I38" s="118"/>
      <c r="J38" s="118"/>
      <c r="K38" s="118"/>
      <c r="L38" s="118"/>
      <c r="M38" s="118"/>
      <c r="N38" s="119"/>
    </row>
    <row r="39" spans="2:14" ht="12" customHeight="1" x14ac:dyDescent="0.25">
      <c r="B39" s="120" t="s">
        <v>173</v>
      </c>
      <c r="C39" s="115"/>
      <c r="D39" s="115"/>
      <c r="E39" s="116"/>
      <c r="F39" s="117"/>
      <c r="G39" s="117"/>
      <c r="H39" s="117"/>
      <c r="I39" s="117"/>
      <c r="J39" s="117"/>
      <c r="K39" s="117"/>
      <c r="L39" s="117"/>
      <c r="M39" s="117"/>
      <c r="N39" s="119"/>
    </row>
    <row r="40" spans="2:14" ht="12" customHeight="1" x14ac:dyDescent="0.25">
      <c r="B40" s="202" t="s">
        <v>174</v>
      </c>
      <c r="C40" s="203"/>
      <c r="D40" s="203"/>
      <c r="E40" s="203"/>
      <c r="F40" s="89">
        <f t="shared" ref="F40:N40" si="3">F32*VLOOKUP($B$32,REP_LUB,5,0)+F33*VLOOKUP($B$33,REP_LUB,5,0)+F34*VLOOKUP($B$34,REP_LUB,5,0)+F35*VLOOKUP($B$35,REP_LUB,5,0)+F36*VLOOKUP($B$36,REP_LUB,5,0)+F37*VLOOKUP($B$37,REP_LUB,5,0)+F38*VLOOKUP($B$38,REP_LUB,5,0)+F39*VLOOKUP($B$39,REP_LUB,5,0)</f>
        <v>0</v>
      </c>
      <c r="G40" s="90">
        <f>G32*VLOOKUP($B$32,REP_LUB,5,0)+G33*VLOOKUP($B$33,REP_LUB,5,0)+G34*VLOOKUP($B$34,REP_LUB,5,0)+G35*VLOOKUP($B$35,REP_LUB,5,0)+G36*VLOOKUP($B$36,REP_LUB,5,0)+G37*VLOOKUP($B$37,REP_LUB,5,0)+G38*VLOOKUP($B$38,REP_LUB,5,0)+G39*VLOOKUP($B$39,REP_LUB,5,0)</f>
        <v>29.895299999999999</v>
      </c>
      <c r="H40" s="92">
        <f t="shared" si="3"/>
        <v>29.895299999999999</v>
      </c>
      <c r="I40" s="92">
        <f t="shared" si="3"/>
        <v>512.62739999999997</v>
      </c>
      <c r="J40" s="92">
        <f t="shared" si="3"/>
        <v>29.895299999999999</v>
      </c>
      <c r="K40" s="92">
        <f t="shared" si="3"/>
        <v>29.895299999999999</v>
      </c>
      <c r="L40" s="92">
        <f t="shared" si="3"/>
        <v>989.89019999999994</v>
      </c>
      <c r="M40" s="92">
        <f t="shared" si="3"/>
        <v>745.84259999999995</v>
      </c>
      <c r="N40" s="93">
        <f t="shared" si="3"/>
        <v>29.895299999999999</v>
      </c>
    </row>
    <row r="41" spans="2:14" ht="7.5" customHeight="1" x14ac:dyDescent="0.25">
      <c r="B41" s="121"/>
      <c r="E41" s="122"/>
      <c r="F41" s="122"/>
      <c r="G41" s="122"/>
      <c r="H41" s="122"/>
      <c r="I41" s="122"/>
      <c r="J41" s="122"/>
      <c r="K41" s="122"/>
      <c r="L41" s="122"/>
      <c r="M41" s="122"/>
      <c r="N41" s="123"/>
    </row>
    <row r="42" spans="2:14" ht="7.5" customHeight="1" x14ac:dyDescent="0.25">
      <c r="B42" s="121"/>
      <c r="E42" s="122"/>
      <c r="F42" s="122"/>
      <c r="G42" s="122"/>
      <c r="H42" s="122"/>
      <c r="I42" s="122"/>
      <c r="J42" s="122"/>
      <c r="K42" s="122"/>
      <c r="L42" s="122"/>
      <c r="M42" s="122"/>
      <c r="N42" s="123"/>
    </row>
    <row r="43" spans="2:14" ht="13.5" customHeight="1" x14ac:dyDescent="0.3">
      <c r="B43" s="124" t="s">
        <v>175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3"/>
    </row>
    <row r="44" spans="2:14" ht="12" customHeight="1" x14ac:dyDescent="0.25">
      <c r="B44" s="125" t="s">
        <v>159</v>
      </c>
      <c r="C44" s="126" t="s">
        <v>160</v>
      </c>
      <c r="D44" s="126"/>
      <c r="E44" s="126"/>
      <c r="F44" s="127" t="s">
        <v>161</v>
      </c>
      <c r="G44" s="127"/>
      <c r="H44" s="127"/>
      <c r="I44" s="127"/>
      <c r="J44" s="127"/>
      <c r="K44" s="127"/>
      <c r="L44" s="127"/>
      <c r="M44" s="127"/>
      <c r="N44" s="128"/>
    </row>
    <row r="45" spans="2:14" ht="12.75" customHeight="1" x14ac:dyDescent="0.25">
      <c r="B45" s="129">
        <v>741433</v>
      </c>
      <c r="C45" s="84" t="s">
        <v>176</v>
      </c>
      <c r="D45" s="84"/>
      <c r="E45" s="104"/>
      <c r="F45" s="130"/>
      <c r="G45" s="130">
        <v>4</v>
      </c>
      <c r="H45" s="130">
        <v>4</v>
      </c>
      <c r="I45" s="130">
        <v>4</v>
      </c>
      <c r="J45" s="130">
        <v>4</v>
      </c>
      <c r="K45" s="131">
        <v>4</v>
      </c>
      <c r="L45" s="131">
        <v>4</v>
      </c>
      <c r="M45" s="131">
        <v>4</v>
      </c>
      <c r="N45" s="132">
        <v>4</v>
      </c>
    </row>
    <row r="46" spans="2:14" ht="12.75" customHeight="1" x14ac:dyDescent="0.25">
      <c r="B46" s="133" t="s">
        <v>177</v>
      </c>
      <c r="C46" s="103" t="s">
        <v>178</v>
      </c>
      <c r="D46" s="103"/>
      <c r="E46" s="104"/>
      <c r="F46" s="130"/>
      <c r="G46" s="130"/>
      <c r="H46" s="80">
        <v>0.7</v>
      </c>
      <c r="I46" s="80"/>
      <c r="J46" s="80">
        <v>0.7</v>
      </c>
      <c r="K46" s="134"/>
      <c r="L46" s="134">
        <v>0.7</v>
      </c>
      <c r="M46" s="134"/>
      <c r="N46" s="81">
        <v>0.7</v>
      </c>
    </row>
    <row r="47" spans="2:14" ht="12.75" customHeight="1" x14ac:dyDescent="0.25">
      <c r="B47" s="133" t="s">
        <v>179</v>
      </c>
      <c r="C47" s="103" t="s">
        <v>180</v>
      </c>
      <c r="D47" s="103"/>
      <c r="E47" s="104"/>
      <c r="F47" s="130"/>
      <c r="G47" s="130"/>
      <c r="H47" s="80"/>
      <c r="I47" s="80"/>
      <c r="J47" s="80">
        <v>5.8</v>
      </c>
      <c r="K47" s="134"/>
      <c r="L47" s="134">
        <v>5.8</v>
      </c>
      <c r="M47" s="134"/>
      <c r="N47" s="81"/>
    </row>
    <row r="48" spans="2:14" ht="12.75" customHeight="1" x14ac:dyDescent="0.25">
      <c r="B48" s="133" t="s">
        <v>181</v>
      </c>
      <c r="C48" s="103" t="s">
        <v>178</v>
      </c>
      <c r="D48" s="103"/>
      <c r="E48" s="104"/>
      <c r="F48" s="130"/>
      <c r="G48" s="130"/>
      <c r="H48" s="80"/>
      <c r="I48" s="80">
        <v>0.5</v>
      </c>
      <c r="J48" s="80"/>
      <c r="K48" s="134"/>
      <c r="L48" s="80">
        <v>0.5</v>
      </c>
      <c r="M48" s="80"/>
      <c r="N48" s="81"/>
    </row>
    <row r="49" spans="2:14" ht="12.75" customHeight="1" x14ac:dyDescent="0.25">
      <c r="B49" s="133" t="s">
        <v>173</v>
      </c>
      <c r="C49" s="103"/>
      <c r="D49" s="103"/>
      <c r="E49" s="104"/>
      <c r="F49" s="130"/>
      <c r="G49" s="130"/>
      <c r="H49" s="80"/>
      <c r="I49" s="80"/>
      <c r="J49" s="80"/>
      <c r="K49" s="134"/>
      <c r="L49" s="134"/>
      <c r="M49" s="134"/>
      <c r="N49" s="81"/>
    </row>
    <row r="50" spans="2:14" ht="12" customHeight="1" x14ac:dyDescent="0.25">
      <c r="B50" s="202" t="s">
        <v>182</v>
      </c>
      <c r="C50" s="203"/>
      <c r="D50" s="203"/>
      <c r="E50" s="203"/>
      <c r="F50" s="89">
        <f t="shared" ref="F50:N50" si="4">F45*VLOOKUP($B$45,REP_LUB,5,0)+F46*VLOOKUP($B$46,REP_LUB,5,0)+F47*VLOOKUP($B$47,REP_LUB,5,0)+F48*VLOOKUP($B$48,REP_LUB,5,0)+F49*VLOOKUP($B$49,REP_LUB,5,0)</f>
        <v>0</v>
      </c>
      <c r="G50" s="89">
        <f>G45*VLOOKUP($B$45,REP_LUB,5,0)+G46*VLOOKUP($B$46,REP_LUB,5,0)+G47*VLOOKUP($B$47,REP_LUB,5,0)+G48*VLOOKUP($B$48,REP_LUB,5,0)+G49*VLOOKUP($B$49,REP_LUB,5,0)</f>
        <v>194.464</v>
      </c>
      <c r="H50" s="92">
        <f t="shared" si="4"/>
        <v>241.20733999999999</v>
      </c>
      <c r="I50" s="92">
        <f t="shared" si="4"/>
        <v>227.85210000000001</v>
      </c>
      <c r="J50" s="92">
        <f t="shared" si="4"/>
        <v>473.38134000000002</v>
      </c>
      <c r="K50" s="92">
        <f t="shared" si="4"/>
        <v>194.464</v>
      </c>
      <c r="L50" s="92">
        <f t="shared" si="4"/>
        <v>506.76944000000003</v>
      </c>
      <c r="M50" s="92">
        <f t="shared" si="4"/>
        <v>194.464</v>
      </c>
      <c r="N50" s="93">
        <f t="shared" si="4"/>
        <v>241.20733999999999</v>
      </c>
    </row>
    <row r="51" spans="2:14" x14ac:dyDescent="0.25">
      <c r="N51" s="96"/>
    </row>
    <row r="52" spans="2:14" ht="13.5" customHeight="1" x14ac:dyDescent="0.3">
      <c r="B52" s="97" t="s">
        <v>183</v>
      </c>
      <c r="C52" s="98"/>
      <c r="D52" s="98"/>
      <c r="E52" s="135"/>
      <c r="F52" s="135"/>
      <c r="G52" s="135"/>
      <c r="H52" s="135"/>
      <c r="I52" s="135"/>
      <c r="J52" s="135"/>
      <c r="K52" s="135"/>
      <c r="L52" s="135"/>
      <c r="M52" s="135"/>
      <c r="N52" s="136"/>
    </row>
    <row r="53" spans="2:14" ht="12" customHeight="1" x14ac:dyDescent="0.25">
      <c r="B53" s="137"/>
      <c r="C53" s="72" t="s">
        <v>160</v>
      </c>
      <c r="D53" s="72"/>
      <c r="E53" s="72"/>
      <c r="F53" s="138"/>
      <c r="G53" s="138"/>
      <c r="H53" s="138"/>
      <c r="I53" s="138"/>
      <c r="J53" s="138"/>
      <c r="K53" s="138"/>
      <c r="L53" s="138"/>
      <c r="M53" s="138"/>
      <c r="N53" s="139"/>
    </row>
    <row r="54" spans="2:14" ht="12.75" customHeight="1" x14ac:dyDescent="0.25">
      <c r="B54" s="202" t="s">
        <v>184</v>
      </c>
      <c r="C54" s="203"/>
      <c r="D54" s="203"/>
      <c r="E54" s="203"/>
      <c r="F54" s="89">
        <v>0</v>
      </c>
      <c r="G54" s="89">
        <f t="shared" ref="G54:N54" si="5">MATERIALES</f>
        <v>94.399999999999991</v>
      </c>
      <c r="H54" s="89">
        <f t="shared" si="5"/>
        <v>94.399999999999991</v>
      </c>
      <c r="I54" s="89">
        <f t="shared" si="5"/>
        <v>94.399999999999991</v>
      </c>
      <c r="J54" s="89">
        <f t="shared" si="5"/>
        <v>94.399999999999991</v>
      </c>
      <c r="K54" s="89">
        <f t="shared" si="5"/>
        <v>94.399999999999991</v>
      </c>
      <c r="L54" s="89">
        <f t="shared" si="5"/>
        <v>94.399999999999991</v>
      </c>
      <c r="M54" s="89">
        <f t="shared" si="5"/>
        <v>94.399999999999991</v>
      </c>
      <c r="N54" s="140">
        <f t="shared" si="5"/>
        <v>94.399999999999991</v>
      </c>
    </row>
    <row r="55" spans="2:14" x14ac:dyDescent="0.25">
      <c r="N55" s="96"/>
    </row>
    <row r="56" spans="2:14" x14ac:dyDescent="0.25">
      <c r="N56" s="96"/>
    </row>
    <row r="57" spans="2:14" x14ac:dyDescent="0.25">
      <c r="B57" s="141" t="s">
        <v>185</v>
      </c>
      <c r="N57" s="96"/>
    </row>
    <row r="58" spans="2:14" ht="7.5" customHeight="1" x14ac:dyDescent="0.25"/>
    <row r="59" spans="2:14" s="145" customFormat="1" ht="13.8" x14ac:dyDescent="0.3">
      <c r="B59" s="142" t="s">
        <v>186</v>
      </c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4"/>
    </row>
    <row r="60" spans="2:14" s="145" customFormat="1" ht="13.8" x14ac:dyDescent="0.3">
      <c r="B60" s="146" t="s">
        <v>187</v>
      </c>
      <c r="C60" s="147" t="s">
        <v>188</v>
      </c>
      <c r="E60" s="148" t="s">
        <v>189</v>
      </c>
      <c r="F60" s="149" t="s">
        <v>190</v>
      </c>
      <c r="G60" s="147"/>
      <c r="H60" s="148" t="s">
        <v>191</v>
      </c>
      <c r="I60" s="149" t="s">
        <v>192</v>
      </c>
      <c r="K60" s="148" t="s">
        <v>193</v>
      </c>
      <c r="L60" s="149" t="s">
        <v>194</v>
      </c>
      <c r="M60" s="147"/>
      <c r="N60" s="150"/>
    </row>
    <row r="61" spans="2:14" s="145" customFormat="1" ht="13.8" x14ac:dyDescent="0.3">
      <c r="B61" s="151"/>
      <c r="C61" s="152" t="s">
        <v>194</v>
      </c>
      <c r="E61" s="55" t="s">
        <v>195</v>
      </c>
      <c r="F61" s="145" t="s">
        <v>196</v>
      </c>
      <c r="H61" s="55" t="s">
        <v>197</v>
      </c>
      <c r="I61" s="145" t="s">
        <v>198</v>
      </c>
      <c r="L61" s="145" t="s">
        <v>199</v>
      </c>
      <c r="N61" s="153"/>
    </row>
    <row r="62" spans="2:14" s="145" customFormat="1" ht="13.8" x14ac:dyDescent="0.3">
      <c r="B62" s="151"/>
      <c r="C62" s="145" t="s">
        <v>200</v>
      </c>
      <c r="F62" s="145" t="s">
        <v>201</v>
      </c>
      <c r="I62" s="145" t="s">
        <v>202</v>
      </c>
      <c r="L62" s="145" t="s">
        <v>203</v>
      </c>
      <c r="N62" s="153"/>
    </row>
    <row r="63" spans="2:14" s="145" customFormat="1" ht="13.8" x14ac:dyDescent="0.3">
      <c r="B63" s="151"/>
      <c r="C63" s="145" t="s">
        <v>204</v>
      </c>
      <c r="F63" s="145" t="s">
        <v>205</v>
      </c>
      <c r="I63" s="145" t="s">
        <v>206</v>
      </c>
      <c r="L63" s="145" t="s">
        <v>207</v>
      </c>
      <c r="N63" s="153"/>
    </row>
    <row r="64" spans="2:14" s="145" customFormat="1" ht="13.8" x14ac:dyDescent="0.3">
      <c r="B64" s="151"/>
      <c r="C64" s="145" t="s">
        <v>208</v>
      </c>
      <c r="F64" s="145" t="s">
        <v>209</v>
      </c>
      <c r="I64" s="145" t="s">
        <v>210</v>
      </c>
      <c r="L64" s="145" t="s">
        <v>211</v>
      </c>
      <c r="N64" s="153"/>
    </row>
    <row r="65" spans="2:14" s="145" customFormat="1" ht="13.8" x14ac:dyDescent="0.3">
      <c r="B65" s="151"/>
      <c r="C65" s="145" t="s">
        <v>212</v>
      </c>
      <c r="F65" s="145" t="s">
        <v>213</v>
      </c>
      <c r="L65" s="145" t="s">
        <v>214</v>
      </c>
      <c r="N65" s="153"/>
    </row>
    <row r="66" spans="2:14" s="145" customFormat="1" ht="13.8" x14ac:dyDescent="0.3">
      <c r="B66" s="151"/>
      <c r="C66" s="145" t="s">
        <v>215</v>
      </c>
      <c r="F66" s="145" t="s">
        <v>216</v>
      </c>
      <c r="L66" s="145" t="s">
        <v>217</v>
      </c>
      <c r="N66" s="153"/>
    </row>
    <row r="67" spans="2:14" s="145" customFormat="1" ht="13.8" x14ac:dyDescent="0.3">
      <c r="B67" s="151"/>
      <c r="C67" s="145" t="s">
        <v>218</v>
      </c>
      <c r="F67" s="145" t="s">
        <v>219</v>
      </c>
      <c r="L67" s="145" t="s">
        <v>220</v>
      </c>
      <c r="N67" s="153"/>
    </row>
    <row r="68" spans="2:14" s="145" customFormat="1" ht="13.8" x14ac:dyDescent="0.3">
      <c r="B68" s="151"/>
      <c r="C68" s="145" t="s">
        <v>221</v>
      </c>
      <c r="F68" s="145" t="s">
        <v>222</v>
      </c>
      <c r="L68" s="145" t="s">
        <v>223</v>
      </c>
      <c r="N68" s="153"/>
    </row>
    <row r="69" spans="2:14" s="145" customFormat="1" ht="13.8" x14ac:dyDescent="0.3">
      <c r="B69" s="151"/>
      <c r="F69" s="154" t="s">
        <v>224</v>
      </c>
      <c r="G69" s="154"/>
      <c r="N69" s="153"/>
    </row>
    <row r="70" spans="2:14" s="145" customFormat="1" ht="13.8" x14ac:dyDescent="0.3">
      <c r="B70" s="155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6"/>
    </row>
    <row r="71" spans="2:14" s="145" customFormat="1" ht="13.8" x14ac:dyDescent="0.3"/>
    <row r="72" spans="2:14" s="145" customFormat="1" ht="12" customHeight="1" x14ac:dyDescent="0.3">
      <c r="B72" s="157" t="s">
        <v>225</v>
      </c>
      <c r="C72" s="158"/>
      <c r="E72" s="159" t="s">
        <v>226</v>
      </c>
      <c r="F72" s="160"/>
      <c r="G72" s="161"/>
      <c r="I72" s="159" t="s">
        <v>227</v>
      </c>
      <c r="J72" s="159"/>
      <c r="K72" s="162"/>
    </row>
    <row r="73" spans="2:14" s="145" customFormat="1" ht="12" customHeight="1" x14ac:dyDescent="0.3">
      <c r="B73" s="163" t="s">
        <v>190</v>
      </c>
      <c r="C73" s="164"/>
      <c r="E73" s="163" t="s">
        <v>190</v>
      </c>
      <c r="G73" s="164"/>
      <c r="I73" s="163" t="s">
        <v>190</v>
      </c>
      <c r="K73" s="164"/>
    </row>
    <row r="74" spans="2:14" s="145" customFormat="1" ht="12" customHeight="1" x14ac:dyDescent="0.3">
      <c r="B74" s="151" t="s">
        <v>228</v>
      </c>
      <c r="C74" s="164"/>
      <c r="E74" s="151" t="s">
        <v>229</v>
      </c>
      <c r="F74" s="55"/>
      <c r="G74" s="164"/>
      <c r="I74" s="151" t="s">
        <v>230</v>
      </c>
      <c r="J74" s="55"/>
      <c r="K74" s="164"/>
    </row>
    <row r="75" spans="2:14" s="145" customFormat="1" ht="12" customHeight="1" x14ac:dyDescent="0.3">
      <c r="B75" s="151" t="s">
        <v>231</v>
      </c>
      <c r="C75" s="164"/>
      <c r="E75" s="165" t="s">
        <v>232</v>
      </c>
      <c r="F75" s="166"/>
      <c r="G75" s="167"/>
      <c r="I75" s="151" t="s">
        <v>233</v>
      </c>
      <c r="K75" s="164"/>
    </row>
    <row r="76" spans="2:14" s="145" customFormat="1" ht="12" customHeight="1" x14ac:dyDescent="0.3">
      <c r="B76" s="151" t="s">
        <v>234</v>
      </c>
      <c r="C76" s="168"/>
      <c r="E76" s="151"/>
      <c r="G76" s="168"/>
      <c r="I76" s="155" t="s">
        <v>235</v>
      </c>
      <c r="J76" s="154"/>
      <c r="K76" s="169"/>
    </row>
    <row r="77" spans="2:14" s="145" customFormat="1" ht="12" customHeight="1" x14ac:dyDescent="0.3">
      <c r="B77" s="151"/>
      <c r="C77" s="164"/>
      <c r="E77" s="163" t="s">
        <v>236</v>
      </c>
      <c r="G77" s="164"/>
    </row>
    <row r="78" spans="2:14" s="145" customFormat="1" ht="12" customHeight="1" x14ac:dyDescent="0.3">
      <c r="B78" s="163" t="s">
        <v>237</v>
      </c>
      <c r="C78" s="164"/>
      <c r="E78" s="155" t="s">
        <v>238</v>
      </c>
      <c r="F78" s="154"/>
      <c r="G78" s="170"/>
    </row>
    <row r="79" spans="2:14" s="145" customFormat="1" ht="12" customHeight="1" x14ac:dyDescent="0.3">
      <c r="B79" s="171" t="s">
        <v>239</v>
      </c>
      <c r="C79" s="170"/>
      <c r="F79" s="55"/>
    </row>
    <row r="80" spans="2:14" s="145" customFormat="1" ht="13.8" x14ac:dyDescent="0.3"/>
    <row r="81" spans="2:12" s="145" customFormat="1" ht="12" customHeight="1" x14ac:dyDescent="0.3">
      <c r="B81" s="204" t="s">
        <v>240</v>
      </c>
      <c r="C81" s="205"/>
      <c r="D81" s="206"/>
    </row>
    <row r="82" spans="2:12" s="145" customFormat="1" ht="12" customHeight="1" x14ac:dyDescent="0.3">
      <c r="B82" s="172" t="s">
        <v>241</v>
      </c>
      <c r="D82" s="164"/>
    </row>
    <row r="83" spans="2:12" ht="14.4" x14ac:dyDescent="0.3">
      <c r="B83" s="173"/>
      <c r="C83" s="173"/>
      <c r="D83" s="173"/>
      <c r="H83"/>
      <c r="I83"/>
      <c r="J83"/>
      <c r="K83"/>
      <c r="L83"/>
    </row>
  </sheetData>
  <mergeCells count="6">
    <mergeCell ref="B81:D81"/>
    <mergeCell ref="B27:E27"/>
    <mergeCell ref="B28:E28"/>
    <mergeCell ref="B40:E40"/>
    <mergeCell ref="B50:E50"/>
    <mergeCell ref="B54:E5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9C22-D394-4F8F-B3D4-68A9BBC069B0}">
  <sheetPr>
    <tabColor theme="3" tint="-0.249977111117893"/>
  </sheetPr>
  <dimension ref="B3:O83"/>
  <sheetViews>
    <sheetView showGridLines="0" zoomScaleNormal="100" workbookViewId="0">
      <pane xSplit="5" ySplit="9" topLeftCell="F30" activePane="bottomRight" state="frozen"/>
      <selection activeCell="E72" sqref="E72"/>
      <selection pane="topRight" activeCell="E72" sqref="E72"/>
      <selection pane="bottomLeft" activeCell="E72" sqref="E72"/>
      <selection pane="bottomRight" activeCell="E72" sqref="E72"/>
    </sheetView>
  </sheetViews>
  <sheetFormatPr baseColWidth="10" defaultColWidth="11.44140625" defaultRowHeight="12" x14ac:dyDescent="0.25"/>
  <cols>
    <col min="1" max="1" width="1.6640625" style="52" customWidth="1"/>
    <col min="2" max="2" width="23.6640625" style="52" customWidth="1"/>
    <col min="3" max="3" width="24.33203125" style="52" customWidth="1"/>
    <col min="4" max="4" width="16.109375" style="52" customWidth="1"/>
    <col min="5" max="5" width="22.33203125" style="52" customWidth="1"/>
    <col min="6" max="10" width="12.88671875" style="52" customWidth="1"/>
    <col min="11" max="11" width="21.88671875" style="52" customWidth="1"/>
    <col min="12" max="12" width="12.88671875" style="52" customWidth="1"/>
    <col min="13" max="13" width="23.6640625" style="52" customWidth="1"/>
    <col min="14" max="14" width="10.44140625" style="52" bestFit="1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248</v>
      </c>
      <c r="D3" s="51"/>
      <c r="G3" s="53"/>
    </row>
    <row r="4" spans="2:15" ht="13.8" x14ac:dyDescent="0.3">
      <c r="B4" s="54" t="s">
        <v>7</v>
      </c>
      <c r="C4" s="52" t="s">
        <v>249</v>
      </c>
      <c r="D4" s="55"/>
    </row>
    <row r="5" spans="2:15" x14ac:dyDescent="0.25">
      <c r="B5" s="54" t="s">
        <v>113</v>
      </c>
      <c r="C5" s="52" t="s">
        <v>250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174">
        <f>+F28+F40+F50+F54</f>
        <v>0</v>
      </c>
      <c r="G6" s="174">
        <f t="shared" ref="G6:N6" si="0">+G28+G40+G50+G54</f>
        <v>878.43330000000003</v>
      </c>
      <c r="H6" s="174">
        <f t="shared" si="0"/>
        <v>1236.1066400000004</v>
      </c>
      <c r="I6" s="174">
        <f t="shared" si="0"/>
        <v>1760.9671000000003</v>
      </c>
      <c r="J6" s="174">
        <f t="shared" si="0"/>
        <v>1685.9316400000002</v>
      </c>
      <c r="K6" s="174">
        <f t="shared" si="0"/>
        <v>940.61929999999995</v>
      </c>
      <c r="L6" s="174">
        <f t="shared" si="0"/>
        <v>2829.6761400000005</v>
      </c>
      <c r="M6" s="174">
        <f t="shared" si="0"/>
        <v>1850.1574000000001</v>
      </c>
      <c r="N6" s="174">
        <f t="shared" si="0"/>
        <v>1515.9436400000002</v>
      </c>
    </row>
    <row r="7" spans="2:15" x14ac:dyDescent="0.25">
      <c r="B7" s="59" t="s">
        <v>124</v>
      </c>
      <c r="F7" s="60">
        <f>F27*[1]Precios!$I$6+F32*IFERROR(VLOOKUP($B$32,REP_COST,9,0),0)+F33*IFERROR(VLOOKUP($B$33,REP_COST,9,0),0)+F34*IFERROR(VLOOKUP($B$34,REP_COST,9,0),0)+F35*IFERROR(VLOOKUP($B$35,REP_COST,9,0),0)+F36*IFERROR(VLOOKUP($B$36,REP_COST,9,0),0)+F37*IFERROR(VLOOKUP($B$37,REP_COST,9,0),0)+F45*IFERROR(VLOOKUP($B$45,REP_COST,9,0),0)+F46*IFERROR(VLOOKUP($B$46,REP_COST,9,0),0)+F47*IFERROR(VLOOKUP($B$47,REP_COST,9,0),0)+F48*IFERROR(VLOOKUP($B$48,REP_COST,9,0),0)+IF(F54&gt;0,[1]Precios!$I$9,0)</f>
        <v>61.949999999999996</v>
      </c>
      <c r="G7" s="60">
        <f>G27*[1]Precios!$I$6+G32*IFERROR(VLOOKUP($B$32,REP_COST,9,0),0)+G33*IFERROR(VLOOKUP($B$33,REP_COST,9,0),0)+G34*IFERROR(VLOOKUP($B$34,REP_COST,9,0),0)+G35*IFERROR(VLOOKUP($B$35,REP_COST,9,0),0)+G36*IFERROR(VLOOKUP($B$36,REP_COST,9,0),0)+G37*IFERROR(VLOOKUP($B$37,REP_COST,9,0),0)+G45*IFERROR(VLOOKUP($B$45,REP_COST,9,0),0)+G46*IFERROR(VLOOKUP($B$46,REP_COST,9,0),0)+G47*IFERROR(VLOOKUP($B$47,REP_COST,9,0),0)+G48*IFERROR(VLOOKUP($B$48,REP_COST,9,0),0)+IF(G54&gt;0,[1]Precios!$I$9,0)</f>
        <v>363.90019999999998</v>
      </c>
      <c r="H7" s="60">
        <f>H27*[1]Precios!$I$6+H32*IFERROR(VLOOKUP($B$32,REP_COST,9,0),0)+H33*IFERROR(VLOOKUP($B$33,REP_COST,9,0),0)+H34*IFERROR(VLOOKUP($B$34,REP_COST,9,0),0)+H35*IFERROR(VLOOKUP($B$35,REP_COST,9,0),0)+H36*IFERROR(VLOOKUP($B$36,REP_COST,9,0),0)+H37*IFERROR(VLOOKUP($B$37,REP_COST,9,0),0)+H45*IFERROR(VLOOKUP($B$45,REP_COST,9,0),0)+H46*IFERROR(VLOOKUP($B$46,REP_COST,9,0),0)+H47*IFERROR(VLOOKUP($B$47,REP_COST,9,0),0)+H48*IFERROR(VLOOKUP($B$48,REP_COST,9,0),0)+IF(H54&gt;0,[1]Precios!$I$9,0)</f>
        <v>461.36720000000003</v>
      </c>
      <c r="I7" s="60">
        <f>I27*[1]Precios!$I$6+I32*IFERROR(VLOOKUP($B$32,REP_COST,9,0),0)+I33*IFERROR(VLOOKUP($B$33,REP_COST,9,0),0)+I34*IFERROR(VLOOKUP($B$34,REP_COST,9,0),0)+I35*IFERROR(VLOOKUP($B$35,REP_COST,9,0),0)+I36*IFERROR(VLOOKUP($B$36,REP_COST,9,0),0)+I37*IFERROR(VLOOKUP($B$37,REP_COST,9,0),0)+I45*IFERROR(VLOOKUP($B$45,REP_COST,9,0),0)+I46*IFERROR(VLOOKUP($B$46,REP_COST,9,0),0)+I47*IFERROR(VLOOKUP($B$47,REP_COST,9,0),0)+I48*IFERROR(VLOOKUP($B$48,REP_COST,9,0),0)+IF(I54&gt;0,[1]Precios!$I$9,0)</f>
        <v>738.75079999999991</v>
      </c>
      <c r="J7" s="60">
        <f>J27*[1]Precios!$I$6+J32*IFERROR(VLOOKUP($B$32,REP_COST,9,0),0)+J33*IFERROR(VLOOKUP($B$33,REP_COST,9,0),0)+J34*IFERROR(VLOOKUP($B$34,REP_COST,9,0),0)+J35*IFERROR(VLOOKUP($B$35,REP_COST,9,0),0)+J36*IFERROR(VLOOKUP($B$36,REP_COST,9,0),0)+J37*IFERROR(VLOOKUP($B$37,REP_COST,9,0),0)+J45*IFERROR(VLOOKUP($B$45,REP_COST,9,0),0)+J46*IFERROR(VLOOKUP($B$46,REP_COST,9,0),0)+J47*IFERROR(VLOOKUP($B$47,REP_COST,9,0),0)+J48*IFERROR(VLOOKUP($B$48,REP_COST,9,0),0)+IF(J54&gt;0,[1]Precios!$I$9,0)</f>
        <v>634.60064000000011</v>
      </c>
      <c r="K7" s="60">
        <f>K27*[1]Precios!$I$6+K32*IFERROR(VLOOKUP($B$32,REP_COST,9,0),0)+K33*IFERROR(VLOOKUP($B$33,REP_COST,9,0),0)+K34*IFERROR(VLOOKUP($B$34,REP_COST,9,0),0)+K35*IFERROR(VLOOKUP($B$35,REP_COST,9,0),0)+K36*IFERROR(VLOOKUP($B$36,REP_COST,9,0),0)+K37*IFERROR(VLOOKUP($B$37,REP_COST,9,0),0)+K45*IFERROR(VLOOKUP($B$45,REP_COST,9,0),0)+K46*IFERROR(VLOOKUP($B$46,REP_COST,9,0),0)+K47*IFERROR(VLOOKUP($B$47,REP_COST,9,0),0)+K48*IFERROR(VLOOKUP($B$48,REP_COST,9,0),0)+IF(K54&gt;0,[1]Precios!$I$9,0)</f>
        <v>381.60019999999997</v>
      </c>
      <c r="L7" s="60">
        <f>L27*[1]Precios!$I$6+L32*IFERROR(VLOOKUP($B$32,REP_COST,9,0),0)+L33*IFERROR(VLOOKUP($B$33,REP_COST,9,0),0)+L34*IFERROR(VLOOKUP($B$34,REP_COST,9,0),0)+L35*IFERROR(VLOOKUP($B$35,REP_COST,9,0),0)+L36*IFERROR(VLOOKUP($B$36,REP_COST,9,0),0)+L37*IFERROR(VLOOKUP($B$37,REP_COST,9,0),0)+L45*IFERROR(VLOOKUP($B$45,REP_COST,9,0),0)+L46*IFERROR(VLOOKUP($B$46,REP_COST,9,0),0)+L47*IFERROR(VLOOKUP($B$47,REP_COST,9,0),0)+L48*IFERROR(VLOOKUP($B$48,REP_COST,9,0),0)+IF(L54&gt;0,[1]Precios!$I$9,0)</f>
        <v>1140.64364</v>
      </c>
      <c r="M7" s="60">
        <f>M27*[1]Precios!$I$6+M32*IFERROR(VLOOKUP($B$32,REP_COST,9,0),0)+M33*IFERROR(VLOOKUP($B$33,REP_COST,9,0),0)+M34*IFERROR(VLOOKUP($B$34,REP_COST,9,0),0)+M35*IFERROR(VLOOKUP($B$35,REP_COST,9,0),0)+M36*IFERROR(VLOOKUP($B$36,REP_COST,9,0),0)+M37*IFERROR(VLOOKUP($B$37,REP_COST,9,0),0)+M45*IFERROR(VLOOKUP($B$45,REP_COST,9,0),0)+M46*IFERROR(VLOOKUP($B$46,REP_COST,9,0),0)+M47*IFERROR(VLOOKUP($B$47,REP_COST,9,0),0)+M48*IFERROR(VLOOKUP($B$48,REP_COST,9,0),0)+IF(M54&gt;0,[1]Precios!$I$9,0)</f>
        <v>953.71729999999991</v>
      </c>
      <c r="N7" s="60">
        <f>N27*[1]Precios!$I$6+N32*IFERROR(VLOOKUP($B$32,REP_COST,9,0),0)+N33*IFERROR(VLOOKUP($B$33,REP_COST,9,0),0)+N34*IFERROR(VLOOKUP($B$34,REP_COST,9,0),0)+N35*IFERROR(VLOOKUP($B$35,REP_COST,9,0),0)+N36*IFERROR(VLOOKUP($B$36,REP_COST,9,0),0)+N37*IFERROR(VLOOKUP($B$37,REP_COST,9,0),0)+N45*IFERROR(VLOOKUP($B$45,REP_COST,9,0),0)+N46*IFERROR(VLOOKUP($B$46,REP_COST,9,0),0)+N47*IFERROR(VLOOKUP($B$47,REP_COST,9,0),0)+N48*IFERROR(VLOOKUP($B$48,REP_COST,9,0),0)+IF(N54&gt;0,[1]Precios!$I$9,0)</f>
        <v>541.01720000000012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s="82" customFormat="1" ht="12" customHeight="1" x14ac:dyDescent="0.25">
      <c r="B11" s="76">
        <v>1</v>
      </c>
      <c r="C11" s="77" t="s">
        <v>141</v>
      </c>
      <c r="D11" s="77"/>
      <c r="E11" s="78"/>
      <c r="F11" s="79"/>
      <c r="G11" s="80">
        <v>0.7</v>
      </c>
      <c r="H11" s="80">
        <v>0.7</v>
      </c>
      <c r="I11" s="80">
        <v>0.7</v>
      </c>
      <c r="J11" s="80">
        <v>0.7</v>
      </c>
      <c r="K11" s="80">
        <v>0.7</v>
      </c>
      <c r="L11" s="80">
        <v>0.7</v>
      </c>
      <c r="M11" s="80">
        <v>0.7</v>
      </c>
      <c r="N11" s="81">
        <v>0.7</v>
      </c>
    </row>
    <row r="12" spans="2:15" s="82" customFormat="1" ht="12" customHeight="1" x14ac:dyDescent="0.25">
      <c r="B12" s="83">
        <v>2</v>
      </c>
      <c r="C12" s="84" t="s">
        <v>142</v>
      </c>
      <c r="D12" s="84"/>
      <c r="E12" s="85"/>
      <c r="F12" s="79">
        <v>0.2</v>
      </c>
      <c r="G12" s="80">
        <v>0.2</v>
      </c>
      <c r="H12" s="80">
        <v>0.2</v>
      </c>
      <c r="I12" s="80">
        <v>0.2</v>
      </c>
      <c r="J12" s="80">
        <v>0.2</v>
      </c>
      <c r="K12" s="80">
        <v>0.2</v>
      </c>
      <c r="L12" s="80">
        <v>0.2</v>
      </c>
      <c r="M12" s="80">
        <v>0.2</v>
      </c>
      <c r="N12" s="81">
        <v>0.2</v>
      </c>
    </row>
    <row r="13" spans="2:15" s="82" customFormat="1" ht="12" customHeight="1" x14ac:dyDescent="0.25">
      <c r="B13" s="83">
        <v>3</v>
      </c>
      <c r="C13" s="84" t="s">
        <v>143</v>
      </c>
      <c r="D13" s="84"/>
      <c r="E13" s="85"/>
      <c r="F13" s="79"/>
      <c r="G13" s="80"/>
      <c r="H13" s="80"/>
      <c r="I13" s="80">
        <v>0.4</v>
      </c>
      <c r="J13" s="80"/>
      <c r="K13" s="80"/>
      <c r="L13" s="80">
        <v>0.4</v>
      </c>
      <c r="M13" s="80"/>
      <c r="N13" s="81"/>
    </row>
    <row r="14" spans="2:15" s="82" customFormat="1" ht="12" customHeight="1" x14ac:dyDescent="0.25">
      <c r="B14" s="83">
        <v>4</v>
      </c>
      <c r="C14" s="84" t="s">
        <v>144</v>
      </c>
      <c r="D14" s="84"/>
      <c r="E14" s="85"/>
      <c r="F14" s="79"/>
      <c r="G14" s="80"/>
      <c r="H14" s="80"/>
      <c r="I14" s="80">
        <v>0.8</v>
      </c>
      <c r="J14" s="80"/>
      <c r="K14" s="80"/>
      <c r="L14" s="80">
        <v>0.8</v>
      </c>
      <c r="M14" s="80"/>
      <c r="N14" s="81"/>
    </row>
    <row r="15" spans="2:15" s="82" customFormat="1" ht="12" customHeight="1" x14ac:dyDescent="0.25">
      <c r="B15" s="83">
        <v>5</v>
      </c>
      <c r="C15" s="84" t="s">
        <v>145</v>
      </c>
      <c r="D15" s="84"/>
      <c r="E15" s="85"/>
      <c r="F15" s="79"/>
      <c r="G15" s="80"/>
      <c r="H15" s="80"/>
      <c r="I15" s="80"/>
      <c r="J15" s="80"/>
      <c r="K15" s="80"/>
      <c r="L15" s="80">
        <v>0.6</v>
      </c>
      <c r="M15" s="80"/>
      <c r="N15" s="81"/>
    </row>
    <row r="16" spans="2:15" s="82" customFormat="1" ht="12" customHeight="1" x14ac:dyDescent="0.25">
      <c r="B16" s="83">
        <v>6</v>
      </c>
      <c r="C16" s="84" t="s">
        <v>146</v>
      </c>
      <c r="D16" s="84"/>
      <c r="E16" s="85"/>
      <c r="F16" s="79"/>
      <c r="G16" s="80"/>
      <c r="H16" s="80">
        <v>0.8</v>
      </c>
      <c r="I16" s="80"/>
      <c r="J16" s="80">
        <v>0.8</v>
      </c>
      <c r="K16" s="80"/>
      <c r="L16" s="80">
        <v>0.8</v>
      </c>
      <c r="M16" s="80"/>
      <c r="N16" s="81">
        <v>0.8</v>
      </c>
    </row>
    <row r="17" spans="2:14" s="82" customFormat="1" ht="12" customHeight="1" x14ac:dyDescent="0.25">
      <c r="B17" s="83">
        <v>7</v>
      </c>
      <c r="C17" s="84" t="s">
        <v>147</v>
      </c>
      <c r="D17" s="84"/>
      <c r="E17" s="85"/>
      <c r="F17" s="79"/>
      <c r="G17" s="80"/>
      <c r="H17" s="80"/>
      <c r="I17" s="80">
        <v>0.5</v>
      </c>
      <c r="J17" s="80"/>
      <c r="K17" s="80"/>
      <c r="L17" s="80">
        <v>0.5</v>
      </c>
      <c r="M17" s="80"/>
      <c r="N17" s="81"/>
    </row>
    <row r="18" spans="2:14" s="82" customFormat="1" ht="12" customHeight="1" x14ac:dyDescent="0.25">
      <c r="B18" s="83">
        <v>8</v>
      </c>
      <c r="C18" s="84" t="s">
        <v>148</v>
      </c>
      <c r="D18" s="84"/>
      <c r="E18" s="85"/>
      <c r="F18" s="79"/>
      <c r="G18" s="80"/>
      <c r="H18" s="80"/>
      <c r="I18" s="80"/>
      <c r="J18" s="80">
        <v>0.5</v>
      </c>
      <c r="K18" s="80"/>
      <c r="L18" s="80">
        <v>0.5</v>
      </c>
      <c r="M18" s="80"/>
      <c r="N18" s="81">
        <v>0.5</v>
      </c>
    </row>
    <row r="19" spans="2:14" s="82" customFormat="1" ht="12" customHeight="1" x14ac:dyDescent="0.25">
      <c r="B19" s="83">
        <v>9</v>
      </c>
      <c r="C19" s="84" t="s">
        <v>149</v>
      </c>
      <c r="D19" s="84"/>
      <c r="E19" s="85"/>
      <c r="F19" s="79"/>
      <c r="G19" s="80"/>
      <c r="H19" s="80"/>
      <c r="I19" s="80"/>
      <c r="J19" s="80"/>
      <c r="K19" s="80"/>
      <c r="L19" s="80"/>
      <c r="M19" s="80">
        <v>0.7</v>
      </c>
      <c r="N19" s="81"/>
    </row>
    <row r="20" spans="2:14" s="82" customFormat="1" ht="12" customHeight="1" x14ac:dyDescent="0.25">
      <c r="B20" s="83">
        <v>10</v>
      </c>
      <c r="C20" s="84" t="s">
        <v>150</v>
      </c>
      <c r="D20" s="84"/>
      <c r="E20" s="85"/>
      <c r="F20" s="79">
        <v>0.5</v>
      </c>
      <c r="G20" s="80">
        <v>0.5</v>
      </c>
      <c r="H20" s="80">
        <v>0.5</v>
      </c>
      <c r="I20" s="80">
        <v>0.5</v>
      </c>
      <c r="J20" s="80">
        <v>0.5</v>
      </c>
      <c r="K20" s="80">
        <v>0.5</v>
      </c>
      <c r="L20" s="80">
        <v>0.5</v>
      </c>
      <c r="M20" s="80">
        <v>0.5</v>
      </c>
      <c r="N20" s="81">
        <v>0.5</v>
      </c>
    </row>
    <row r="21" spans="2:14" s="82" customFormat="1" ht="12" customHeight="1" x14ac:dyDescent="0.25">
      <c r="B21" s="83">
        <v>11</v>
      </c>
      <c r="C21" s="84" t="s">
        <v>151</v>
      </c>
      <c r="D21" s="84"/>
      <c r="E21" s="85"/>
      <c r="F21" s="79"/>
      <c r="G21" s="80">
        <v>0.2</v>
      </c>
      <c r="H21" s="80">
        <v>0.2</v>
      </c>
      <c r="I21" s="80">
        <v>0.2</v>
      </c>
      <c r="J21" s="80">
        <v>0.2</v>
      </c>
      <c r="K21" s="80">
        <v>0.2</v>
      </c>
      <c r="L21" s="80">
        <v>0.2</v>
      </c>
      <c r="M21" s="80">
        <v>0.2</v>
      </c>
      <c r="N21" s="81">
        <v>0.2</v>
      </c>
    </row>
    <row r="22" spans="2:14" s="82" customFormat="1" ht="12" customHeight="1" x14ac:dyDescent="0.25">
      <c r="B22" s="83">
        <v>12</v>
      </c>
      <c r="C22" s="84" t="s">
        <v>152</v>
      </c>
      <c r="D22" s="84"/>
      <c r="E22" s="85"/>
      <c r="F22" s="79"/>
      <c r="G22" s="80"/>
      <c r="H22" s="80">
        <v>0.2</v>
      </c>
      <c r="I22" s="80"/>
      <c r="J22" s="80">
        <v>0.2</v>
      </c>
      <c r="K22" s="80"/>
      <c r="L22" s="80">
        <v>0.2</v>
      </c>
      <c r="M22" s="80"/>
      <c r="N22" s="81">
        <v>0.2</v>
      </c>
    </row>
    <row r="23" spans="2:14" s="82" customFormat="1" ht="12" customHeight="1" x14ac:dyDescent="0.25">
      <c r="B23" s="83">
        <v>13</v>
      </c>
      <c r="C23" s="84" t="s">
        <v>153</v>
      </c>
      <c r="D23" s="84"/>
      <c r="E23" s="85"/>
      <c r="F23" s="79"/>
      <c r="G23" s="80"/>
      <c r="H23" s="80"/>
      <c r="I23" s="80"/>
      <c r="J23" s="80"/>
      <c r="K23" s="80">
        <v>0.2</v>
      </c>
      <c r="L23" s="80"/>
      <c r="M23" s="80"/>
      <c r="N23" s="81">
        <v>0.2</v>
      </c>
    </row>
    <row r="24" spans="2:14" s="82" customFormat="1" ht="12" customHeight="1" x14ac:dyDescent="0.25">
      <c r="B24" s="83">
        <v>14</v>
      </c>
      <c r="C24" s="84" t="s">
        <v>154</v>
      </c>
      <c r="D24" s="84"/>
      <c r="E24" s="85"/>
      <c r="F24" s="79"/>
      <c r="G24" s="80"/>
      <c r="H24" s="80"/>
      <c r="I24" s="80"/>
      <c r="J24" s="80">
        <v>0.2</v>
      </c>
      <c r="K24" s="80"/>
      <c r="L24" s="80"/>
      <c r="M24" s="80"/>
      <c r="N24" s="81">
        <v>0.2</v>
      </c>
    </row>
    <row r="25" spans="2:14" s="82" customFormat="1" ht="12" customHeight="1" x14ac:dyDescent="0.25">
      <c r="B25" s="83">
        <v>15</v>
      </c>
      <c r="C25" s="84" t="s">
        <v>155</v>
      </c>
      <c r="D25" s="84"/>
      <c r="E25" s="85"/>
      <c r="F25" s="79"/>
      <c r="G25" s="80">
        <v>0.2</v>
      </c>
      <c r="H25" s="80">
        <v>0.2</v>
      </c>
      <c r="I25" s="80">
        <v>0.2</v>
      </c>
      <c r="J25" s="80">
        <v>0.2</v>
      </c>
      <c r="K25" s="80">
        <v>0.2</v>
      </c>
      <c r="L25" s="80">
        <v>0.2</v>
      </c>
      <c r="M25" s="80">
        <v>0.2</v>
      </c>
      <c r="N25" s="81">
        <v>0.2</v>
      </c>
    </row>
    <row r="26" spans="2:14" s="82" customFormat="1" ht="12" customHeight="1" x14ac:dyDescent="0.25">
      <c r="B26" s="83"/>
      <c r="C26" s="84"/>
      <c r="D26" s="84"/>
      <c r="E26" s="85"/>
      <c r="F26" s="79"/>
      <c r="G26" s="80"/>
      <c r="H26" s="80"/>
      <c r="I26" s="80"/>
      <c r="J26" s="80"/>
      <c r="K26" s="80"/>
      <c r="L26" s="80"/>
      <c r="M26" s="80"/>
      <c r="N26" s="81"/>
    </row>
    <row r="27" spans="2:14" ht="12" customHeight="1" x14ac:dyDescent="0.25">
      <c r="B27" s="202" t="s">
        <v>156</v>
      </c>
      <c r="C27" s="203"/>
      <c r="D27" s="203"/>
      <c r="E27" s="203"/>
      <c r="F27" s="86">
        <f>SUM(F11:F26)</f>
        <v>0.7</v>
      </c>
      <c r="G27" s="87">
        <f t="shared" ref="G27:N27" si="1">SUM(G11:G26)</f>
        <v>1.7999999999999998</v>
      </c>
      <c r="H27" s="87">
        <f t="shared" si="1"/>
        <v>2.8000000000000007</v>
      </c>
      <c r="I27" s="87">
        <f t="shared" si="1"/>
        <v>3.5</v>
      </c>
      <c r="J27" s="87">
        <f t="shared" si="1"/>
        <v>3.5000000000000009</v>
      </c>
      <c r="K27" s="87">
        <f t="shared" si="1"/>
        <v>1.9999999999999998</v>
      </c>
      <c r="L27" s="87">
        <f t="shared" si="1"/>
        <v>5.6000000000000005</v>
      </c>
      <c r="M27" s="87">
        <f t="shared" si="1"/>
        <v>2.5</v>
      </c>
      <c r="N27" s="88">
        <f t="shared" si="1"/>
        <v>3.7000000000000011</v>
      </c>
    </row>
    <row r="28" spans="2:14" ht="12" customHeight="1" x14ac:dyDescent="0.25">
      <c r="B28" s="202" t="s">
        <v>157</v>
      </c>
      <c r="C28" s="203"/>
      <c r="D28" s="203"/>
      <c r="E28" s="203"/>
      <c r="F28" s="89">
        <v>0</v>
      </c>
      <c r="G28" s="90">
        <f>+G27*HH</f>
        <v>559.67399999999998</v>
      </c>
      <c r="H28" s="91">
        <f t="shared" ref="H28:N28" si="2">+H27*HH</f>
        <v>870.60400000000027</v>
      </c>
      <c r="I28" s="92">
        <f t="shared" si="2"/>
        <v>1088.2550000000001</v>
      </c>
      <c r="J28" s="92">
        <f t="shared" si="2"/>
        <v>1088.2550000000003</v>
      </c>
      <c r="K28" s="92">
        <f t="shared" si="2"/>
        <v>621.8599999999999</v>
      </c>
      <c r="L28" s="92">
        <f t="shared" si="2"/>
        <v>1741.2080000000003</v>
      </c>
      <c r="M28" s="92">
        <f t="shared" si="2"/>
        <v>777.32500000000005</v>
      </c>
      <c r="N28" s="93">
        <f t="shared" si="2"/>
        <v>1150.4410000000003</v>
      </c>
    </row>
    <row r="29" spans="2:14" x14ac:dyDescent="0.25">
      <c r="B29" s="94"/>
      <c r="E29" s="95"/>
      <c r="N29" s="96"/>
    </row>
    <row r="30" spans="2:14" ht="13.5" customHeight="1" x14ac:dyDescent="0.3">
      <c r="B30" s="97" t="s">
        <v>158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9"/>
    </row>
    <row r="31" spans="2:14" x14ac:dyDescent="0.25">
      <c r="B31" s="100" t="s">
        <v>159</v>
      </c>
      <c r="C31" s="101" t="s">
        <v>160</v>
      </c>
      <c r="D31" s="101"/>
      <c r="E31" s="101"/>
      <c r="F31" s="74" t="s">
        <v>161</v>
      </c>
      <c r="G31" s="74"/>
      <c r="H31" s="74"/>
      <c r="I31" s="74"/>
      <c r="J31" s="74"/>
      <c r="K31" s="74"/>
      <c r="L31" s="74"/>
      <c r="M31" s="74"/>
      <c r="N31" s="75"/>
    </row>
    <row r="32" spans="2:14" ht="12" customHeight="1" x14ac:dyDescent="0.25">
      <c r="B32" s="102">
        <v>2630035505</v>
      </c>
      <c r="C32" s="103" t="s">
        <v>163</v>
      </c>
      <c r="D32" s="103"/>
      <c r="E32" s="104"/>
      <c r="F32" s="105"/>
      <c r="G32" s="105">
        <v>1</v>
      </c>
      <c r="H32" s="105">
        <v>1</v>
      </c>
      <c r="I32" s="105">
        <v>1</v>
      </c>
      <c r="J32" s="105">
        <v>1</v>
      </c>
      <c r="K32" s="105">
        <v>1</v>
      </c>
      <c r="L32" s="105">
        <v>1</v>
      </c>
      <c r="M32" s="105">
        <v>1</v>
      </c>
      <c r="N32" s="106">
        <v>1</v>
      </c>
    </row>
    <row r="33" spans="2:14" ht="12" customHeight="1" x14ac:dyDescent="0.25">
      <c r="B33" s="107">
        <v>2151323001</v>
      </c>
      <c r="C33" s="108" t="s">
        <v>164</v>
      </c>
      <c r="D33" s="108"/>
      <c r="E33" s="109"/>
      <c r="F33" s="110"/>
      <c r="G33" s="110">
        <v>1</v>
      </c>
      <c r="H33" s="110">
        <v>1</v>
      </c>
      <c r="I33" s="110">
        <v>1</v>
      </c>
      <c r="J33" s="110">
        <v>1</v>
      </c>
      <c r="K33" s="110">
        <v>1</v>
      </c>
      <c r="L33" s="110">
        <v>1</v>
      </c>
      <c r="M33" s="110">
        <v>1</v>
      </c>
      <c r="N33" s="111">
        <v>1</v>
      </c>
    </row>
    <row r="34" spans="2:14" ht="11.25" customHeight="1" x14ac:dyDescent="0.25">
      <c r="B34" s="112" t="s">
        <v>251</v>
      </c>
      <c r="C34" s="108" t="s">
        <v>166</v>
      </c>
      <c r="D34" s="108"/>
      <c r="E34" s="109"/>
      <c r="F34" s="110"/>
      <c r="G34" s="110"/>
      <c r="H34" s="110"/>
      <c r="I34" s="113">
        <v>1</v>
      </c>
      <c r="J34" s="113"/>
      <c r="K34" s="113"/>
      <c r="L34" s="113">
        <v>1</v>
      </c>
      <c r="M34" s="113"/>
      <c r="N34" s="111"/>
    </row>
    <row r="35" spans="2:14" ht="12" customHeight="1" x14ac:dyDescent="0.25">
      <c r="B35" s="112" t="s">
        <v>252</v>
      </c>
      <c r="C35" s="108" t="s">
        <v>168</v>
      </c>
      <c r="D35" s="108"/>
      <c r="E35" s="109"/>
      <c r="F35" s="110"/>
      <c r="G35" s="110"/>
      <c r="H35" s="110"/>
      <c r="I35" s="113"/>
      <c r="J35" s="113"/>
      <c r="K35" s="113"/>
      <c r="L35" s="113">
        <v>1</v>
      </c>
      <c r="M35" s="113"/>
      <c r="N35" s="111"/>
    </row>
    <row r="36" spans="2:14" ht="12" customHeight="1" x14ac:dyDescent="0.25">
      <c r="B36" s="114" t="s">
        <v>253</v>
      </c>
      <c r="C36" s="115" t="s">
        <v>170</v>
      </c>
      <c r="D36" s="115"/>
      <c r="E36" s="116"/>
      <c r="F36" s="117"/>
      <c r="G36" s="117"/>
      <c r="H36" s="117"/>
      <c r="I36" s="118">
        <v>1</v>
      </c>
      <c r="J36" s="118"/>
      <c r="K36" s="118"/>
      <c r="L36" s="118">
        <v>1</v>
      </c>
      <c r="M36" s="118"/>
      <c r="N36" s="119"/>
    </row>
    <row r="37" spans="2:14" ht="12" customHeight="1" x14ac:dyDescent="0.25">
      <c r="B37" s="114" t="s">
        <v>171</v>
      </c>
      <c r="C37" s="115" t="s">
        <v>172</v>
      </c>
      <c r="D37" s="115"/>
      <c r="E37" s="116"/>
      <c r="F37" s="117"/>
      <c r="G37" s="117"/>
      <c r="H37" s="117"/>
      <c r="I37" s="118"/>
      <c r="J37" s="118"/>
      <c r="K37" s="118"/>
      <c r="L37" s="118"/>
      <c r="M37" s="118">
        <v>1</v>
      </c>
      <c r="N37" s="119"/>
    </row>
    <row r="38" spans="2:14" ht="12" customHeight="1" x14ac:dyDescent="0.25">
      <c r="B38" s="114" t="s">
        <v>173</v>
      </c>
      <c r="C38" s="115"/>
      <c r="D38" s="115"/>
      <c r="E38" s="116"/>
      <c r="F38" s="117"/>
      <c r="G38" s="117"/>
      <c r="H38" s="117"/>
      <c r="I38" s="118"/>
      <c r="J38" s="118"/>
      <c r="K38" s="118"/>
      <c r="L38" s="118"/>
      <c r="M38" s="118"/>
      <c r="N38" s="119"/>
    </row>
    <row r="39" spans="2:14" ht="12" customHeight="1" x14ac:dyDescent="0.25">
      <c r="B39" s="120" t="s">
        <v>173</v>
      </c>
      <c r="C39" s="115"/>
      <c r="D39" s="115"/>
      <c r="E39" s="116"/>
      <c r="F39" s="117"/>
      <c r="G39" s="117"/>
      <c r="H39" s="117"/>
      <c r="I39" s="117"/>
      <c r="J39" s="117"/>
      <c r="K39" s="117"/>
      <c r="L39" s="117"/>
      <c r="M39" s="117"/>
      <c r="N39" s="119"/>
    </row>
    <row r="40" spans="2:14" ht="12" customHeight="1" x14ac:dyDescent="0.25">
      <c r="B40" s="202" t="s">
        <v>174</v>
      </c>
      <c r="C40" s="203"/>
      <c r="D40" s="203"/>
      <c r="E40" s="203"/>
      <c r="F40" s="89">
        <f>F32*VLOOKUP($B$32,REP_LUB,5,0)+F33*VLOOKUP($B$33,REP_LUB,5,0)+F34*VLOOKUP($B$34,REP_LUB,5,0)+F35*VLOOKUP($B$35,REP_LUB,5,0)+F36*VLOOKUP($B$36,REP_LUB,5,0)+F37*VLOOKUP($B$37,REP_LUB,5,0)+F38*VLOOKUP($B$38,REP_LUB,5,0)+F39*VLOOKUP($B$39,REP_LUB,5,0)</f>
        <v>0</v>
      </c>
      <c r="G40" s="90">
        <f t="shared" ref="G40:N40" si="3">G32*VLOOKUP($B$32,REP_LUB,5,0)+G33*VLOOKUP($B$33,REP_LUB,5,0)+G34*VLOOKUP($B$34,REP_LUB,5,0)+G35*VLOOKUP($B$35,REP_LUB,5,0)+G36*VLOOKUP($B$36,REP_LUB,5,0)+G37*VLOOKUP($B$37,REP_LUB,5,0)+G38*VLOOKUP($B$38,REP_LUB,5,0)+G39*VLOOKUP($B$39,REP_LUB,5,0)</f>
        <v>29.895299999999999</v>
      </c>
      <c r="H40" s="92">
        <f t="shared" si="3"/>
        <v>29.895299999999999</v>
      </c>
      <c r="I40" s="92">
        <f t="shared" si="3"/>
        <v>350.46</v>
      </c>
      <c r="J40" s="92">
        <f t="shared" si="3"/>
        <v>29.895299999999999</v>
      </c>
      <c r="K40" s="92">
        <f t="shared" si="3"/>
        <v>29.895299999999999</v>
      </c>
      <c r="L40" s="92">
        <f t="shared" si="3"/>
        <v>487.29869999999994</v>
      </c>
      <c r="M40" s="92">
        <f t="shared" si="3"/>
        <v>783.96839999999997</v>
      </c>
      <c r="N40" s="93">
        <f t="shared" si="3"/>
        <v>29.895299999999999</v>
      </c>
    </row>
    <row r="41" spans="2:14" ht="7.5" customHeight="1" x14ac:dyDescent="0.25">
      <c r="B41" s="121"/>
      <c r="E41" s="122"/>
      <c r="F41" s="122"/>
      <c r="G41" s="122"/>
      <c r="H41" s="122"/>
      <c r="I41" s="122"/>
      <c r="J41" s="122"/>
      <c r="K41" s="122"/>
      <c r="L41" s="122"/>
      <c r="M41" s="122"/>
      <c r="N41" s="123"/>
    </row>
    <row r="42" spans="2:14" ht="7.5" customHeight="1" x14ac:dyDescent="0.25">
      <c r="B42" s="121"/>
      <c r="E42" s="122"/>
      <c r="F42" s="122"/>
      <c r="G42" s="122"/>
      <c r="H42" s="122"/>
      <c r="I42" s="122"/>
      <c r="J42" s="122"/>
      <c r="K42" s="122"/>
      <c r="L42" s="122"/>
      <c r="M42" s="122"/>
      <c r="N42" s="123"/>
    </row>
    <row r="43" spans="2:14" ht="13.5" customHeight="1" x14ac:dyDescent="0.3">
      <c r="B43" s="124" t="s">
        <v>175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3"/>
    </row>
    <row r="44" spans="2:14" ht="12" customHeight="1" x14ac:dyDescent="0.25">
      <c r="B44" s="125" t="s">
        <v>159</v>
      </c>
      <c r="C44" s="126" t="s">
        <v>160</v>
      </c>
      <c r="D44" s="126"/>
      <c r="E44" s="126"/>
      <c r="F44" s="127" t="s">
        <v>161</v>
      </c>
      <c r="G44" s="127"/>
      <c r="H44" s="127"/>
      <c r="I44" s="127"/>
      <c r="J44" s="127"/>
      <c r="K44" s="127"/>
      <c r="L44" s="127"/>
      <c r="M44" s="127"/>
      <c r="N44" s="128"/>
    </row>
    <row r="45" spans="2:14" ht="12.75" customHeight="1" x14ac:dyDescent="0.25">
      <c r="B45" s="129">
        <v>741433</v>
      </c>
      <c r="C45" s="103" t="s">
        <v>176</v>
      </c>
      <c r="D45" s="103"/>
      <c r="E45" s="104"/>
      <c r="F45" s="130"/>
      <c r="G45" s="130">
        <v>4</v>
      </c>
      <c r="H45" s="130">
        <v>4</v>
      </c>
      <c r="I45" s="130">
        <v>4</v>
      </c>
      <c r="J45" s="130">
        <v>4</v>
      </c>
      <c r="K45" s="131">
        <v>4</v>
      </c>
      <c r="L45" s="131">
        <v>4</v>
      </c>
      <c r="M45" s="131">
        <v>4</v>
      </c>
      <c r="N45" s="132">
        <v>4</v>
      </c>
    </row>
    <row r="46" spans="2:14" ht="12.75" customHeight="1" x14ac:dyDescent="0.25">
      <c r="B46" s="133" t="s">
        <v>177</v>
      </c>
      <c r="C46" s="103" t="s">
        <v>178</v>
      </c>
      <c r="D46" s="103"/>
      <c r="E46" s="104"/>
      <c r="F46" s="130"/>
      <c r="G46" s="130"/>
      <c r="H46" s="80">
        <v>0.7</v>
      </c>
      <c r="I46" s="80"/>
      <c r="J46" s="80">
        <v>0.7</v>
      </c>
      <c r="K46" s="134"/>
      <c r="L46" s="134">
        <v>0.7</v>
      </c>
      <c r="M46" s="134"/>
      <c r="N46" s="81">
        <v>0.7</v>
      </c>
    </row>
    <row r="47" spans="2:14" ht="12.75" customHeight="1" x14ac:dyDescent="0.25">
      <c r="B47" s="133" t="s">
        <v>179</v>
      </c>
      <c r="C47" s="103" t="s">
        <v>180</v>
      </c>
      <c r="D47" s="103"/>
      <c r="E47" s="104"/>
      <c r="F47" s="130"/>
      <c r="G47" s="130"/>
      <c r="H47" s="80"/>
      <c r="I47" s="80"/>
      <c r="J47" s="80">
        <v>5.8</v>
      </c>
      <c r="K47" s="134"/>
      <c r="L47" s="134">
        <v>5.8</v>
      </c>
      <c r="M47" s="134"/>
      <c r="N47" s="81"/>
    </row>
    <row r="48" spans="2:14" ht="12.75" customHeight="1" x14ac:dyDescent="0.25">
      <c r="B48" s="133" t="s">
        <v>181</v>
      </c>
      <c r="C48" s="103" t="s">
        <v>178</v>
      </c>
      <c r="D48" s="103"/>
      <c r="E48" s="104"/>
      <c r="F48" s="130"/>
      <c r="G48" s="130"/>
      <c r="H48" s="80"/>
      <c r="I48" s="80">
        <v>0.5</v>
      </c>
      <c r="J48" s="80"/>
      <c r="K48" s="134"/>
      <c r="L48" s="80">
        <v>0.5</v>
      </c>
      <c r="M48" s="80"/>
      <c r="N48" s="81"/>
    </row>
    <row r="49" spans="2:14" ht="12.75" customHeight="1" x14ac:dyDescent="0.25">
      <c r="B49" s="133" t="s">
        <v>173</v>
      </c>
      <c r="C49" s="103"/>
      <c r="D49" s="103"/>
      <c r="E49" s="104"/>
      <c r="F49" s="130"/>
      <c r="G49" s="130"/>
      <c r="H49" s="80"/>
      <c r="I49" s="80"/>
      <c r="J49" s="80"/>
      <c r="K49" s="134"/>
      <c r="L49" s="134"/>
      <c r="M49" s="134"/>
      <c r="N49" s="81"/>
    </row>
    <row r="50" spans="2:14" ht="12" customHeight="1" x14ac:dyDescent="0.25">
      <c r="B50" s="202" t="s">
        <v>182</v>
      </c>
      <c r="C50" s="203"/>
      <c r="D50" s="203"/>
      <c r="E50" s="203"/>
      <c r="F50" s="89">
        <f>F45*VLOOKUP($B$45,REP_LUB,5,0)+F46*VLOOKUP($B$46,REP_LUB,5,0)+F47*VLOOKUP($B$47,REP_LUB,5,0)+F48*VLOOKUP($B$48,REP_LUB,5,0)+F49*VLOOKUP($B$49,REP_LUB,5,0)</f>
        <v>0</v>
      </c>
      <c r="G50" s="89">
        <f t="shared" ref="G50:N50" si="4">G45*VLOOKUP($B$45,REP_LUB,5,0)+G46*VLOOKUP($B$46,REP_LUB,5,0)+G47*VLOOKUP($B$47,REP_LUB,5,0)+G48*VLOOKUP($B$48,REP_LUB,5,0)+G49*VLOOKUP($B$49,REP_LUB,5,0)</f>
        <v>194.464</v>
      </c>
      <c r="H50" s="92">
        <f t="shared" si="4"/>
        <v>241.20733999999999</v>
      </c>
      <c r="I50" s="92">
        <f t="shared" si="4"/>
        <v>227.85210000000001</v>
      </c>
      <c r="J50" s="92">
        <f t="shared" si="4"/>
        <v>473.38134000000002</v>
      </c>
      <c r="K50" s="92">
        <f t="shared" si="4"/>
        <v>194.464</v>
      </c>
      <c r="L50" s="92">
        <f t="shared" si="4"/>
        <v>506.76944000000003</v>
      </c>
      <c r="M50" s="92">
        <f t="shared" si="4"/>
        <v>194.464</v>
      </c>
      <c r="N50" s="93">
        <f t="shared" si="4"/>
        <v>241.20733999999999</v>
      </c>
    </row>
    <row r="51" spans="2:14" x14ac:dyDescent="0.25">
      <c r="N51" s="96"/>
    </row>
    <row r="52" spans="2:14" ht="13.5" customHeight="1" x14ac:dyDescent="0.3">
      <c r="B52" s="97" t="s">
        <v>183</v>
      </c>
      <c r="C52" s="98"/>
      <c r="D52" s="98"/>
      <c r="E52" s="135"/>
      <c r="F52" s="135"/>
      <c r="G52" s="135"/>
      <c r="H52" s="135"/>
      <c r="I52" s="135"/>
      <c r="J52" s="135"/>
      <c r="K52" s="135"/>
      <c r="L52" s="135"/>
      <c r="M52" s="135"/>
      <c r="N52" s="136"/>
    </row>
    <row r="53" spans="2:14" ht="12" customHeight="1" x14ac:dyDescent="0.25">
      <c r="B53" s="137"/>
      <c r="C53" s="72" t="s">
        <v>160</v>
      </c>
      <c r="D53" s="72"/>
      <c r="E53" s="72"/>
      <c r="F53" s="138"/>
      <c r="G53" s="138"/>
      <c r="H53" s="138"/>
      <c r="I53" s="138"/>
      <c r="J53" s="138"/>
      <c r="K53" s="138"/>
      <c r="L53" s="138"/>
      <c r="M53" s="138"/>
      <c r="N53" s="139"/>
    </row>
    <row r="54" spans="2:14" ht="12.75" customHeight="1" x14ac:dyDescent="0.25">
      <c r="B54" s="202" t="s">
        <v>184</v>
      </c>
      <c r="C54" s="203"/>
      <c r="D54" s="203"/>
      <c r="E54" s="203"/>
      <c r="F54" s="89">
        <v>0</v>
      </c>
      <c r="G54" s="89">
        <f t="shared" ref="G54:N54" si="5">MATERIALES</f>
        <v>94.399999999999991</v>
      </c>
      <c r="H54" s="89">
        <f t="shared" si="5"/>
        <v>94.399999999999991</v>
      </c>
      <c r="I54" s="89">
        <f t="shared" si="5"/>
        <v>94.399999999999991</v>
      </c>
      <c r="J54" s="89">
        <f t="shared" si="5"/>
        <v>94.399999999999991</v>
      </c>
      <c r="K54" s="89">
        <f t="shared" si="5"/>
        <v>94.399999999999991</v>
      </c>
      <c r="L54" s="89">
        <f t="shared" si="5"/>
        <v>94.399999999999991</v>
      </c>
      <c r="M54" s="89">
        <f t="shared" si="5"/>
        <v>94.399999999999991</v>
      </c>
      <c r="N54" s="140">
        <f t="shared" si="5"/>
        <v>94.399999999999991</v>
      </c>
    </row>
    <row r="55" spans="2:14" x14ac:dyDescent="0.25">
      <c r="N55" s="96"/>
    </row>
    <row r="56" spans="2:14" x14ac:dyDescent="0.25">
      <c r="N56" s="96"/>
    </row>
    <row r="57" spans="2:14" x14ac:dyDescent="0.25">
      <c r="B57" s="141" t="s">
        <v>185</v>
      </c>
      <c r="N57" s="96"/>
    </row>
    <row r="58" spans="2:14" ht="7.5" customHeight="1" x14ac:dyDescent="0.25"/>
    <row r="59" spans="2:14" s="145" customFormat="1" ht="13.8" x14ac:dyDescent="0.3">
      <c r="B59" s="142" t="s">
        <v>186</v>
      </c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4"/>
    </row>
    <row r="60" spans="2:14" s="145" customFormat="1" ht="13.8" x14ac:dyDescent="0.3">
      <c r="B60" s="146" t="s">
        <v>187</v>
      </c>
      <c r="C60" s="147" t="s">
        <v>188</v>
      </c>
      <c r="E60" s="148" t="s">
        <v>189</v>
      </c>
      <c r="F60" s="149" t="s">
        <v>190</v>
      </c>
      <c r="G60" s="147"/>
      <c r="H60" s="148" t="s">
        <v>191</v>
      </c>
      <c r="I60" s="149" t="s">
        <v>192</v>
      </c>
      <c r="K60" s="148" t="s">
        <v>193</v>
      </c>
      <c r="L60" s="149" t="s">
        <v>194</v>
      </c>
      <c r="M60" s="147"/>
      <c r="N60" s="150"/>
    </row>
    <row r="61" spans="2:14" s="145" customFormat="1" ht="13.8" x14ac:dyDescent="0.3">
      <c r="B61" s="151"/>
      <c r="C61" s="152" t="s">
        <v>194</v>
      </c>
      <c r="E61" s="55" t="s">
        <v>195</v>
      </c>
      <c r="F61" s="145" t="s">
        <v>196</v>
      </c>
      <c r="H61" s="55" t="s">
        <v>197</v>
      </c>
      <c r="I61" s="145" t="s">
        <v>198</v>
      </c>
      <c r="L61" s="145" t="s">
        <v>199</v>
      </c>
      <c r="N61" s="153"/>
    </row>
    <row r="62" spans="2:14" s="145" customFormat="1" ht="13.8" x14ac:dyDescent="0.3">
      <c r="B62" s="151"/>
      <c r="C62" s="145" t="s">
        <v>200</v>
      </c>
      <c r="F62" s="145" t="s">
        <v>201</v>
      </c>
      <c r="I62" s="145" t="s">
        <v>202</v>
      </c>
      <c r="L62" s="145" t="s">
        <v>203</v>
      </c>
      <c r="N62" s="153"/>
    </row>
    <row r="63" spans="2:14" s="145" customFormat="1" ht="13.8" x14ac:dyDescent="0.3">
      <c r="B63" s="151"/>
      <c r="C63" s="145" t="s">
        <v>204</v>
      </c>
      <c r="F63" s="145" t="s">
        <v>205</v>
      </c>
      <c r="I63" s="145" t="s">
        <v>206</v>
      </c>
      <c r="L63" s="145" t="s">
        <v>207</v>
      </c>
      <c r="N63" s="153"/>
    </row>
    <row r="64" spans="2:14" s="145" customFormat="1" ht="13.8" x14ac:dyDescent="0.3">
      <c r="B64" s="151"/>
      <c r="C64" s="145" t="s">
        <v>208</v>
      </c>
      <c r="F64" s="145" t="s">
        <v>209</v>
      </c>
      <c r="I64" s="145" t="s">
        <v>210</v>
      </c>
      <c r="L64" s="145" t="s">
        <v>211</v>
      </c>
      <c r="N64" s="153"/>
    </row>
    <row r="65" spans="2:14" s="145" customFormat="1" ht="13.8" x14ac:dyDescent="0.3">
      <c r="B65" s="151"/>
      <c r="C65" s="145" t="s">
        <v>212</v>
      </c>
      <c r="F65" s="145" t="s">
        <v>213</v>
      </c>
      <c r="L65" s="145" t="s">
        <v>214</v>
      </c>
      <c r="N65" s="153"/>
    </row>
    <row r="66" spans="2:14" s="145" customFormat="1" ht="13.8" x14ac:dyDescent="0.3">
      <c r="B66" s="151"/>
      <c r="C66" s="145" t="s">
        <v>215</v>
      </c>
      <c r="F66" s="145" t="s">
        <v>216</v>
      </c>
      <c r="L66" s="145" t="s">
        <v>217</v>
      </c>
      <c r="N66" s="153"/>
    </row>
    <row r="67" spans="2:14" s="145" customFormat="1" ht="13.8" x14ac:dyDescent="0.3">
      <c r="B67" s="151"/>
      <c r="C67" s="145" t="s">
        <v>218</v>
      </c>
      <c r="F67" s="145" t="s">
        <v>219</v>
      </c>
      <c r="L67" s="145" t="s">
        <v>220</v>
      </c>
      <c r="N67" s="153"/>
    </row>
    <row r="68" spans="2:14" s="145" customFormat="1" ht="13.8" x14ac:dyDescent="0.3">
      <c r="B68" s="151"/>
      <c r="C68" s="145" t="s">
        <v>221</v>
      </c>
      <c r="F68" s="145" t="s">
        <v>222</v>
      </c>
      <c r="L68" s="145" t="s">
        <v>223</v>
      </c>
      <c r="N68" s="153"/>
    </row>
    <row r="69" spans="2:14" s="145" customFormat="1" ht="13.8" x14ac:dyDescent="0.3">
      <c r="B69" s="151"/>
      <c r="F69" s="154" t="s">
        <v>224</v>
      </c>
      <c r="G69" s="154"/>
      <c r="N69" s="153"/>
    </row>
    <row r="70" spans="2:14" s="145" customFormat="1" ht="13.8" x14ac:dyDescent="0.3">
      <c r="B70" s="155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6"/>
    </row>
    <row r="71" spans="2:14" s="145" customFormat="1" ht="13.8" x14ac:dyDescent="0.3"/>
    <row r="72" spans="2:14" s="145" customFormat="1" ht="12" customHeight="1" x14ac:dyDescent="0.3">
      <c r="B72" s="157" t="s">
        <v>225</v>
      </c>
      <c r="C72" s="158"/>
      <c r="E72" s="159" t="s">
        <v>226</v>
      </c>
      <c r="F72" s="160"/>
      <c r="G72" s="161"/>
      <c r="I72" s="159" t="s">
        <v>227</v>
      </c>
      <c r="J72" s="159"/>
      <c r="K72" s="162"/>
    </row>
    <row r="73" spans="2:14" s="145" customFormat="1" ht="12" customHeight="1" x14ac:dyDescent="0.3">
      <c r="B73" s="163" t="s">
        <v>190</v>
      </c>
      <c r="C73" s="164"/>
      <c r="E73" s="163" t="s">
        <v>190</v>
      </c>
      <c r="G73" s="164"/>
      <c r="I73" s="163" t="s">
        <v>190</v>
      </c>
      <c r="K73" s="164"/>
    </row>
    <row r="74" spans="2:14" s="145" customFormat="1" ht="12" customHeight="1" x14ac:dyDescent="0.3">
      <c r="B74" s="151" t="s">
        <v>228</v>
      </c>
      <c r="C74" s="164"/>
      <c r="E74" s="151" t="s">
        <v>229</v>
      </c>
      <c r="F74" s="55"/>
      <c r="G74" s="164"/>
      <c r="I74" s="151" t="s">
        <v>230</v>
      </c>
      <c r="J74" s="55"/>
      <c r="K74" s="164"/>
    </row>
    <row r="75" spans="2:14" s="145" customFormat="1" ht="12" customHeight="1" x14ac:dyDescent="0.3">
      <c r="B75" s="151" t="s">
        <v>231</v>
      </c>
      <c r="C75" s="164"/>
      <c r="E75" s="165" t="s">
        <v>232</v>
      </c>
      <c r="F75" s="166"/>
      <c r="G75" s="167"/>
      <c r="I75" s="151" t="s">
        <v>233</v>
      </c>
      <c r="K75" s="164"/>
    </row>
    <row r="76" spans="2:14" s="145" customFormat="1" ht="12" customHeight="1" x14ac:dyDescent="0.3">
      <c r="B76" s="151" t="s">
        <v>234</v>
      </c>
      <c r="C76" s="168"/>
      <c r="E76" s="151"/>
      <c r="G76" s="168"/>
      <c r="I76" s="155" t="s">
        <v>235</v>
      </c>
      <c r="J76" s="154"/>
      <c r="K76" s="169"/>
    </row>
    <row r="77" spans="2:14" s="145" customFormat="1" ht="12" customHeight="1" x14ac:dyDescent="0.3">
      <c r="B77" s="151"/>
      <c r="C77" s="164"/>
      <c r="E77" s="163" t="s">
        <v>236</v>
      </c>
      <c r="G77" s="164"/>
    </row>
    <row r="78" spans="2:14" s="145" customFormat="1" ht="12" customHeight="1" x14ac:dyDescent="0.3">
      <c r="B78" s="163" t="s">
        <v>237</v>
      </c>
      <c r="C78" s="164"/>
      <c r="E78" s="155" t="s">
        <v>238</v>
      </c>
      <c r="F78" s="154"/>
      <c r="G78" s="170"/>
    </row>
    <row r="79" spans="2:14" s="145" customFormat="1" ht="12" customHeight="1" x14ac:dyDescent="0.3">
      <c r="B79" s="171" t="s">
        <v>239</v>
      </c>
      <c r="C79" s="170"/>
      <c r="F79" s="55"/>
    </row>
    <row r="80" spans="2:14" s="145" customFormat="1" ht="13.8" x14ac:dyDescent="0.3"/>
    <row r="81" spans="2:12" s="145" customFormat="1" ht="12" customHeight="1" x14ac:dyDescent="0.3">
      <c r="B81" s="204" t="s">
        <v>240</v>
      </c>
      <c r="C81" s="205"/>
      <c r="D81" s="206"/>
    </row>
    <row r="82" spans="2:12" s="145" customFormat="1" ht="12" customHeight="1" x14ac:dyDescent="0.3">
      <c r="B82" s="172" t="s">
        <v>241</v>
      </c>
      <c r="D82" s="164"/>
    </row>
    <row r="83" spans="2:12" ht="14.4" x14ac:dyDescent="0.3">
      <c r="B83" s="173"/>
      <c r="C83" s="173"/>
      <c r="D83" s="173"/>
      <c r="H83"/>
      <c r="I83"/>
      <c r="J83"/>
      <c r="K83"/>
      <c r="L83"/>
    </row>
  </sheetData>
  <mergeCells count="6">
    <mergeCell ref="B81:D81"/>
    <mergeCell ref="B27:E27"/>
    <mergeCell ref="B28:E28"/>
    <mergeCell ref="B40:E40"/>
    <mergeCell ref="B50:E50"/>
    <mergeCell ref="B54:E5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377D-E348-4E08-A99E-1C6873F5A4AA}">
  <sheetPr>
    <tabColor theme="3" tint="-0.249977111117893"/>
  </sheetPr>
  <dimension ref="B3:O71"/>
  <sheetViews>
    <sheetView showGridLines="0" zoomScale="84" zoomScaleNormal="84" workbookViewId="0">
      <pane xSplit="5" ySplit="9" topLeftCell="F50" activePane="bottomRight" state="frozen"/>
      <selection activeCell="E72" sqref="E72"/>
      <selection pane="topRight" activeCell="E72" sqref="E72"/>
      <selection pane="bottomLeft" activeCell="E72" sqref="E72"/>
      <selection pane="bottomRight" activeCell="E72" sqref="E72"/>
    </sheetView>
  </sheetViews>
  <sheetFormatPr baseColWidth="10" defaultColWidth="11.44140625" defaultRowHeight="12" x14ac:dyDescent="0.25"/>
  <cols>
    <col min="1" max="1" width="1.6640625" style="52" customWidth="1"/>
    <col min="2" max="2" width="23.6640625" style="52" customWidth="1"/>
    <col min="3" max="3" width="24.33203125" style="52" customWidth="1"/>
    <col min="4" max="4" width="16.109375" style="52" customWidth="1"/>
    <col min="5" max="5" width="22.33203125" style="52" customWidth="1"/>
    <col min="6" max="10" width="12.88671875" style="52" customWidth="1"/>
    <col min="11" max="11" width="18.88671875" style="52" customWidth="1"/>
    <col min="12" max="12" width="12.88671875" style="52" customWidth="1"/>
    <col min="13" max="13" width="12.109375" style="52" customWidth="1"/>
    <col min="14" max="14" width="13.44140625" style="52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254</v>
      </c>
      <c r="D3" s="51"/>
      <c r="G3" s="53"/>
    </row>
    <row r="4" spans="2:15" ht="13.8" x14ac:dyDescent="0.3">
      <c r="B4" s="54" t="s">
        <v>7</v>
      </c>
      <c r="C4" s="52" t="s">
        <v>255</v>
      </c>
      <c r="D4" s="55"/>
    </row>
    <row r="5" spans="2:15" x14ac:dyDescent="0.25">
      <c r="B5" s="54" t="s">
        <v>113</v>
      </c>
      <c r="C5" s="52" t="s">
        <v>256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174">
        <f>+F25+F33+F41+F45</f>
        <v>0</v>
      </c>
      <c r="G6" s="174">
        <f t="shared" ref="G6:N6" si="0">+G25+G33+G41+G45</f>
        <v>848.17809999999997</v>
      </c>
      <c r="H6" s="174">
        <f t="shared" si="0"/>
        <v>1330.2234400000002</v>
      </c>
      <c r="I6" s="174">
        <f t="shared" si="0"/>
        <v>848.17809999999997</v>
      </c>
      <c r="J6" s="174">
        <f t="shared" si="0"/>
        <v>2066.1234400000003</v>
      </c>
      <c r="K6" s="174">
        <f t="shared" si="0"/>
        <v>848.17809999999997</v>
      </c>
      <c r="L6" s="174">
        <f t="shared" si="0"/>
        <v>2066.1234400000003</v>
      </c>
      <c r="M6" s="174">
        <f t="shared" si="0"/>
        <v>848.17809999999997</v>
      </c>
      <c r="N6" s="174">
        <f t="shared" si="0"/>
        <v>2066.1234400000003</v>
      </c>
    </row>
    <row r="7" spans="2:15" x14ac:dyDescent="0.25">
      <c r="B7" s="59" t="s">
        <v>124</v>
      </c>
      <c r="F7" s="60">
        <f>F24*[1]Precios!$I$6+F29*IFERROR(VLOOKUP($B$29,REP_COST,9,0),0)+F38*IFERROR(VLOOKUP($B$38,REP_COST,9,0),0)+F39*IFERROR(VLOOKUP($B$39,REP_COST,9,0),0)+IF(F45&gt;0,[1]Precios!$I$9,0)</f>
        <v>44.25</v>
      </c>
      <c r="G7" s="60">
        <f>G24*[1]Precios!$I$6+G29*IFERROR(VLOOKUP($B$29,REP_COST,9,0),0)+G38*IFERROR(VLOOKUP($B$38,REP_COST,9,0),0)+G39*IFERROR(VLOOKUP($B$39,REP_COST,9,0),0)+IF(G45&gt;0,[1]Precios!$I$9,0)</f>
        <v>367.10390000000001</v>
      </c>
      <c r="H7" s="60">
        <f>H24*[1]Precios!$I$6+H29*IFERROR(VLOOKUP($B$29,REP_COST,9,0),0)+H38*IFERROR(VLOOKUP($B$38,REP_COST,9,0),0)+H39*IFERROR(VLOOKUP($B$39,REP_COST,9,0),0)+IF(H45&gt;0,[1]Precios!$I$9,0)</f>
        <v>499.97090000000003</v>
      </c>
      <c r="I7" s="60">
        <f>I24*[1]Precios!$I$6+I29*IFERROR(VLOOKUP($B$29,REP_COST,9,0),0)+I38*IFERROR(VLOOKUP($B$38,REP_COST,9,0),0)+I39*IFERROR(VLOOKUP($B$39,REP_COST,9,0),0)+IF(I45&gt;0,[1]Precios!$I$9,0)</f>
        <v>367.10390000000001</v>
      </c>
      <c r="J7" s="60">
        <f>J24*[1]Precios!$I$6+J29*IFERROR(VLOOKUP($B$29,REP_COST,9,0),0)+J38*IFERROR(VLOOKUP($B$38,REP_COST,9,0),0)+J39*IFERROR(VLOOKUP($B$39,REP_COST,9,0),0)+IF(J45&gt;0,[1]Precios!$I$9,0)</f>
        <v>822.42950000000019</v>
      </c>
      <c r="K7" s="60">
        <f>K24*[1]Precios!$I$6+K29*IFERROR(VLOOKUP($B$29,REP_COST,9,0),0)+K38*IFERROR(VLOOKUP($B$38,REP_COST,9,0),0)+K39*IFERROR(VLOOKUP($B$39,REP_COST,9,0),0)+IF(K45&gt;0,[1]Precios!$I$9,0)</f>
        <v>367.10390000000001</v>
      </c>
      <c r="L7" s="60">
        <f>L24*[1]Precios!$I$6+L29*IFERROR(VLOOKUP($B$29,REP_COST,9,0),0)+L38*IFERROR(VLOOKUP($B$38,REP_COST,9,0),0)+L39*IFERROR(VLOOKUP($B$39,REP_COST,9,0),0)+IF(L45&gt;0,[1]Precios!$I$9,0)</f>
        <v>822.42950000000019</v>
      </c>
      <c r="M7" s="60">
        <f>M24*[1]Precios!$I$6+M29*IFERROR(VLOOKUP($B$29,REP_COST,9,0),0)+M38*IFERROR(VLOOKUP($B$38,REP_COST,9,0),0)+M39*IFERROR(VLOOKUP($B$39,REP_COST,9,0),0)+IF(M45&gt;0,[1]Precios!$I$9,0)</f>
        <v>367.10390000000001</v>
      </c>
      <c r="N7" s="60">
        <f>N24*[1]Precios!$I$6+N29*IFERROR(VLOOKUP($B$29,REP_COST,9,0),0)+N38*IFERROR(VLOOKUP($B$38,REP_COST,9,0),0)+N39*IFERROR(VLOOKUP($B$39,REP_COST,9,0),0)+IF(N45&gt;0,[1]Precios!$I$9,0)</f>
        <v>822.42950000000019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s="82" customFormat="1" ht="12" customHeight="1" x14ac:dyDescent="0.25">
      <c r="B11" s="83">
        <v>1</v>
      </c>
      <c r="C11" s="84" t="s">
        <v>146</v>
      </c>
      <c r="D11" s="84"/>
      <c r="E11" s="85"/>
      <c r="F11" s="79"/>
      <c r="G11" s="80"/>
      <c r="H11" s="80">
        <v>0.8</v>
      </c>
      <c r="I11" s="80"/>
      <c r="J11" s="80">
        <v>0.8</v>
      </c>
      <c r="K11" s="80"/>
      <c r="L11" s="80">
        <v>0.8</v>
      </c>
      <c r="M11" s="80"/>
      <c r="N11" s="81">
        <v>0.8</v>
      </c>
    </row>
    <row r="12" spans="2:15" s="82" customFormat="1" ht="12" customHeight="1" x14ac:dyDescent="0.25">
      <c r="B12" s="83">
        <v>2</v>
      </c>
      <c r="C12" s="84" t="s">
        <v>257</v>
      </c>
      <c r="D12" s="84"/>
      <c r="E12" s="85"/>
      <c r="F12" s="175"/>
      <c r="G12" s="176"/>
      <c r="H12" s="177">
        <v>0.2</v>
      </c>
      <c r="I12" s="177"/>
      <c r="J12" s="177">
        <v>0.2</v>
      </c>
      <c r="K12" s="177"/>
      <c r="L12" s="177">
        <v>0.2</v>
      </c>
      <c r="M12" s="177"/>
      <c r="N12" s="178">
        <v>0.2</v>
      </c>
    </row>
    <row r="13" spans="2:15" s="82" customFormat="1" ht="12" customHeight="1" x14ac:dyDescent="0.25">
      <c r="B13" s="83">
        <v>3</v>
      </c>
      <c r="C13" s="84" t="s">
        <v>148</v>
      </c>
      <c r="D13" s="84"/>
      <c r="E13" s="85"/>
      <c r="F13" s="79"/>
      <c r="G13" s="80"/>
      <c r="H13" s="176"/>
      <c r="I13" s="80"/>
      <c r="J13" s="177">
        <v>0.5</v>
      </c>
      <c r="K13" s="177"/>
      <c r="L13" s="177">
        <v>0.5</v>
      </c>
      <c r="M13" s="177"/>
      <c r="N13" s="178">
        <v>0.5</v>
      </c>
    </row>
    <row r="14" spans="2:15" s="82" customFormat="1" ht="12" customHeight="1" x14ac:dyDescent="0.25">
      <c r="B14" s="83">
        <v>4</v>
      </c>
      <c r="C14" s="84" t="s">
        <v>258</v>
      </c>
      <c r="D14" s="84"/>
      <c r="E14" s="85"/>
      <c r="F14" s="79"/>
      <c r="G14" s="80"/>
      <c r="H14" s="177">
        <v>0.2</v>
      </c>
      <c r="I14" s="177"/>
      <c r="J14" s="177">
        <v>0.2</v>
      </c>
      <c r="K14" s="177"/>
      <c r="L14" s="177">
        <v>0.2</v>
      </c>
      <c r="M14" s="177"/>
      <c r="N14" s="178">
        <v>0.2</v>
      </c>
    </row>
    <row r="15" spans="2:15" s="82" customFormat="1" ht="12" customHeight="1" x14ac:dyDescent="0.25">
      <c r="B15" s="83">
        <v>5</v>
      </c>
      <c r="C15" s="84" t="s">
        <v>259</v>
      </c>
      <c r="D15" s="84"/>
      <c r="E15" s="85"/>
      <c r="F15" s="79"/>
      <c r="G15" s="177">
        <v>0.2</v>
      </c>
      <c r="H15" s="177">
        <v>0.2</v>
      </c>
      <c r="I15" s="177">
        <v>0.2</v>
      </c>
      <c r="J15" s="177">
        <v>0.2</v>
      </c>
      <c r="K15" s="177">
        <v>0.2</v>
      </c>
      <c r="L15" s="177">
        <v>0.2</v>
      </c>
      <c r="M15" s="177">
        <v>0.2</v>
      </c>
      <c r="N15" s="177">
        <v>0.2</v>
      </c>
    </row>
    <row r="16" spans="2:15" s="183" customFormat="1" ht="12" customHeight="1" x14ac:dyDescent="0.25">
      <c r="B16" s="179">
        <v>6</v>
      </c>
      <c r="C16" s="180" t="s">
        <v>260</v>
      </c>
      <c r="D16" s="180"/>
      <c r="E16" s="181"/>
      <c r="F16" s="182"/>
      <c r="G16" s="177">
        <v>0.2</v>
      </c>
      <c r="H16" s="177">
        <v>0.2</v>
      </c>
      <c r="I16" s="177">
        <v>0.2</v>
      </c>
      <c r="J16" s="177">
        <v>0.2</v>
      </c>
      <c r="K16" s="177">
        <v>0.2</v>
      </c>
      <c r="L16" s="177">
        <v>0.2</v>
      </c>
      <c r="M16" s="177">
        <v>0.2</v>
      </c>
      <c r="N16" s="177">
        <v>0.2</v>
      </c>
    </row>
    <row r="17" spans="2:14" s="82" customFormat="1" ht="12" customHeight="1" x14ac:dyDescent="0.25">
      <c r="B17" s="83">
        <v>7</v>
      </c>
      <c r="C17" s="84" t="s">
        <v>261</v>
      </c>
      <c r="D17" s="84"/>
      <c r="E17" s="85"/>
      <c r="F17" s="79"/>
      <c r="G17" s="177">
        <v>0.2</v>
      </c>
      <c r="H17" s="177">
        <v>0.2</v>
      </c>
      <c r="I17" s="177">
        <v>0.2</v>
      </c>
      <c r="J17" s="177">
        <v>0.2</v>
      </c>
      <c r="K17" s="177">
        <v>0.2</v>
      </c>
      <c r="L17" s="177">
        <v>0.2</v>
      </c>
      <c r="M17" s="177">
        <v>0.2</v>
      </c>
      <c r="N17" s="177">
        <v>0.2</v>
      </c>
    </row>
    <row r="18" spans="2:14" s="82" customFormat="1" ht="12" customHeight="1" x14ac:dyDescent="0.25">
      <c r="B18" s="83">
        <v>8</v>
      </c>
      <c r="C18" s="84" t="s">
        <v>150</v>
      </c>
      <c r="D18" s="84"/>
      <c r="E18" s="85"/>
      <c r="F18" s="79">
        <v>0.5</v>
      </c>
      <c r="G18" s="80">
        <v>0.5</v>
      </c>
      <c r="H18" s="80">
        <v>0.5</v>
      </c>
      <c r="I18" s="80">
        <v>0.5</v>
      </c>
      <c r="J18" s="80">
        <v>0.5</v>
      </c>
      <c r="K18" s="80">
        <v>0.5</v>
      </c>
      <c r="L18" s="80">
        <v>0.5</v>
      </c>
      <c r="M18" s="80">
        <v>0.5</v>
      </c>
      <c r="N18" s="81">
        <v>0.5</v>
      </c>
    </row>
    <row r="19" spans="2:14" s="82" customFormat="1" ht="12" customHeight="1" x14ac:dyDescent="0.25">
      <c r="B19" s="83">
        <v>9</v>
      </c>
      <c r="C19" s="84" t="s">
        <v>151</v>
      </c>
      <c r="D19" s="84"/>
      <c r="E19" s="85"/>
      <c r="F19" s="79"/>
      <c r="G19" s="80">
        <v>0.2</v>
      </c>
      <c r="H19" s="80">
        <v>0.2</v>
      </c>
      <c r="I19" s="80">
        <v>0.2</v>
      </c>
      <c r="J19" s="80">
        <v>0.2</v>
      </c>
      <c r="K19" s="80">
        <v>0.2</v>
      </c>
      <c r="L19" s="80">
        <v>0.2</v>
      </c>
      <c r="M19" s="80">
        <v>0.2</v>
      </c>
      <c r="N19" s="81">
        <v>0.2</v>
      </c>
    </row>
    <row r="20" spans="2:14" s="82" customFormat="1" ht="12" customHeight="1" x14ac:dyDescent="0.25">
      <c r="B20" s="83">
        <v>10</v>
      </c>
      <c r="C20" s="84" t="s">
        <v>262</v>
      </c>
      <c r="D20" s="84"/>
      <c r="E20" s="85"/>
      <c r="F20" s="79"/>
      <c r="G20" s="80"/>
      <c r="H20" s="80">
        <v>0.2</v>
      </c>
      <c r="I20" s="80"/>
      <c r="J20" s="80">
        <v>0.2</v>
      </c>
      <c r="K20" s="80"/>
      <c r="L20" s="80">
        <v>0.2</v>
      </c>
      <c r="M20" s="80"/>
      <c r="N20" s="81">
        <v>0.2</v>
      </c>
    </row>
    <row r="21" spans="2:14" s="82" customFormat="1" ht="12" customHeight="1" x14ac:dyDescent="0.25">
      <c r="B21" s="83">
        <v>11</v>
      </c>
      <c r="C21" s="84" t="s">
        <v>263</v>
      </c>
      <c r="D21" s="84"/>
      <c r="E21" s="85"/>
      <c r="F21" s="79"/>
      <c r="G21" s="177">
        <v>0.2</v>
      </c>
      <c r="H21" s="177">
        <v>0.2</v>
      </c>
      <c r="I21" s="177">
        <v>0.2</v>
      </c>
      <c r="J21" s="177">
        <v>0.2</v>
      </c>
      <c r="K21" s="177">
        <v>0.2</v>
      </c>
      <c r="L21" s="177">
        <v>0.2</v>
      </c>
      <c r="M21" s="177">
        <v>0.2</v>
      </c>
      <c r="N21" s="177">
        <v>0.2</v>
      </c>
    </row>
    <row r="22" spans="2:14" s="82" customFormat="1" ht="12" customHeight="1" x14ac:dyDescent="0.25">
      <c r="B22" s="83">
        <v>12</v>
      </c>
      <c r="C22" s="84" t="s">
        <v>155</v>
      </c>
      <c r="D22" s="84"/>
      <c r="E22" s="85"/>
      <c r="F22" s="79"/>
      <c r="G22" s="80">
        <v>0.2</v>
      </c>
      <c r="H22" s="80">
        <v>0.2</v>
      </c>
      <c r="I22" s="80">
        <v>0.2</v>
      </c>
      <c r="J22" s="80">
        <v>0.2</v>
      </c>
      <c r="K22" s="80">
        <v>0.2</v>
      </c>
      <c r="L22" s="80">
        <v>0.2</v>
      </c>
      <c r="M22" s="80">
        <v>0.2</v>
      </c>
      <c r="N22" s="81">
        <v>0.2</v>
      </c>
    </row>
    <row r="23" spans="2:14" s="82" customFormat="1" ht="12" customHeight="1" x14ac:dyDescent="0.25">
      <c r="B23" s="83"/>
      <c r="C23" s="84"/>
      <c r="D23" s="84"/>
      <c r="E23" s="85"/>
      <c r="F23" s="79"/>
      <c r="G23" s="80"/>
      <c r="H23" s="80"/>
      <c r="I23" s="80"/>
      <c r="J23" s="80"/>
      <c r="K23" s="80"/>
      <c r="L23" s="80"/>
      <c r="M23" s="80"/>
      <c r="N23" s="81"/>
    </row>
    <row r="24" spans="2:14" ht="12" customHeight="1" x14ac:dyDescent="0.25">
      <c r="B24" s="202" t="s">
        <v>156</v>
      </c>
      <c r="C24" s="203"/>
      <c r="D24" s="203"/>
      <c r="E24" s="203"/>
      <c r="F24" s="86">
        <f>SUM(F11:F23)</f>
        <v>0.5</v>
      </c>
      <c r="G24" s="87">
        <f t="shared" ref="G24:N24" si="1">SUM(G11:G23)</f>
        <v>1.7</v>
      </c>
      <c r="H24" s="87">
        <f t="shared" si="1"/>
        <v>3.1000000000000005</v>
      </c>
      <c r="I24" s="87">
        <f t="shared" si="1"/>
        <v>1.7</v>
      </c>
      <c r="J24" s="87">
        <f t="shared" si="1"/>
        <v>3.600000000000001</v>
      </c>
      <c r="K24" s="87">
        <f t="shared" si="1"/>
        <v>1.7</v>
      </c>
      <c r="L24" s="87">
        <f t="shared" si="1"/>
        <v>3.600000000000001</v>
      </c>
      <c r="M24" s="87">
        <f t="shared" si="1"/>
        <v>1.7</v>
      </c>
      <c r="N24" s="88">
        <f t="shared" si="1"/>
        <v>3.600000000000001</v>
      </c>
    </row>
    <row r="25" spans="2:14" ht="12" customHeight="1" x14ac:dyDescent="0.25">
      <c r="B25" s="202" t="s">
        <v>157</v>
      </c>
      <c r="C25" s="203"/>
      <c r="D25" s="203"/>
      <c r="E25" s="203"/>
      <c r="F25" s="89">
        <v>0</v>
      </c>
      <c r="G25" s="90">
        <f>+G24*HH</f>
        <v>528.58100000000002</v>
      </c>
      <c r="H25" s="92">
        <f t="shared" ref="H25:N25" si="2">+H24*HH</f>
        <v>963.88300000000015</v>
      </c>
      <c r="I25" s="92">
        <f t="shared" si="2"/>
        <v>528.58100000000002</v>
      </c>
      <c r="J25" s="92">
        <f t="shared" si="2"/>
        <v>1119.3480000000004</v>
      </c>
      <c r="K25" s="92">
        <f t="shared" si="2"/>
        <v>528.58100000000002</v>
      </c>
      <c r="L25" s="92">
        <f t="shared" si="2"/>
        <v>1119.3480000000004</v>
      </c>
      <c r="M25" s="92">
        <f t="shared" si="2"/>
        <v>528.58100000000002</v>
      </c>
      <c r="N25" s="93">
        <f t="shared" si="2"/>
        <v>1119.3480000000004</v>
      </c>
    </row>
    <row r="26" spans="2:14" x14ac:dyDescent="0.25">
      <c r="B26" s="94"/>
      <c r="E26" s="95"/>
      <c r="N26" s="96"/>
    </row>
    <row r="27" spans="2:14" ht="13.5" customHeight="1" x14ac:dyDescent="0.3">
      <c r="B27" s="97" t="s">
        <v>158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9"/>
    </row>
    <row r="28" spans="2:14" x14ac:dyDescent="0.25">
      <c r="B28" s="100" t="s">
        <v>159</v>
      </c>
      <c r="C28" s="101" t="s">
        <v>160</v>
      </c>
      <c r="D28" s="101"/>
      <c r="E28" s="101"/>
      <c r="F28" s="74" t="s">
        <v>161</v>
      </c>
      <c r="G28" s="74"/>
      <c r="H28" s="74"/>
      <c r="I28" s="74"/>
      <c r="J28" s="74"/>
      <c r="K28" s="74"/>
      <c r="L28" s="74"/>
      <c r="M28" s="74"/>
      <c r="N28" s="75"/>
    </row>
    <row r="29" spans="2:14" ht="12" customHeight="1" x14ac:dyDescent="0.25">
      <c r="B29" s="184" t="s">
        <v>264</v>
      </c>
      <c r="C29" s="84" t="s">
        <v>265</v>
      </c>
      <c r="D29" s="84"/>
      <c r="E29" s="185"/>
      <c r="F29" s="105"/>
      <c r="G29" s="105">
        <v>1</v>
      </c>
      <c r="H29" s="105">
        <v>1</v>
      </c>
      <c r="I29" s="105">
        <v>1</v>
      </c>
      <c r="J29" s="105">
        <v>1</v>
      </c>
      <c r="K29" s="105">
        <v>1</v>
      </c>
      <c r="L29" s="105">
        <v>1</v>
      </c>
      <c r="M29" s="105">
        <v>1</v>
      </c>
      <c r="N29" s="106">
        <v>1</v>
      </c>
    </row>
    <row r="30" spans="2:14" ht="12" customHeight="1" x14ac:dyDescent="0.25">
      <c r="B30" s="186" t="s">
        <v>173</v>
      </c>
      <c r="C30" s="187"/>
      <c r="D30" s="187"/>
      <c r="E30" s="188"/>
      <c r="F30" s="110"/>
      <c r="G30" s="110"/>
      <c r="H30" s="110"/>
      <c r="I30" s="110"/>
      <c r="J30" s="110"/>
      <c r="K30" s="110"/>
      <c r="L30" s="110"/>
      <c r="M30" s="110"/>
      <c r="N30" s="111"/>
    </row>
    <row r="31" spans="2:14" ht="12" customHeight="1" x14ac:dyDescent="0.25">
      <c r="B31" s="114" t="s">
        <v>173</v>
      </c>
      <c r="C31" s="115"/>
      <c r="D31" s="115"/>
      <c r="E31" s="116"/>
      <c r="F31" s="117"/>
      <c r="G31" s="117"/>
      <c r="H31" s="117"/>
      <c r="I31" s="118"/>
      <c r="J31" s="118"/>
      <c r="K31" s="118"/>
      <c r="L31" s="118"/>
      <c r="M31" s="118"/>
      <c r="N31" s="119"/>
    </row>
    <row r="32" spans="2:14" ht="12" customHeight="1" x14ac:dyDescent="0.25">
      <c r="B32" s="120" t="s">
        <v>173</v>
      </c>
      <c r="C32" s="115"/>
      <c r="D32" s="115"/>
      <c r="E32" s="116"/>
      <c r="F32" s="117"/>
      <c r="G32" s="117"/>
      <c r="H32" s="117"/>
      <c r="I32" s="117"/>
      <c r="J32" s="117"/>
      <c r="K32" s="117"/>
      <c r="L32" s="117"/>
      <c r="M32" s="117"/>
      <c r="N32" s="119"/>
    </row>
    <row r="33" spans="2:14" ht="12" customHeight="1" x14ac:dyDescent="0.25">
      <c r="B33" s="202" t="s">
        <v>174</v>
      </c>
      <c r="C33" s="203"/>
      <c r="D33" s="203"/>
      <c r="E33" s="203"/>
      <c r="F33" s="89">
        <f>F29*VLOOKUP($B$29,REP_LUB,5,0)+F30*VLOOKUP($B$30,REP_LUB,5,0)+F31*VLOOKUP($B$31,REP_LUB,5,0)+F32*VLOOKUP($B$32,REP_LUB,5,0)</f>
        <v>0</v>
      </c>
      <c r="G33" s="89">
        <f t="shared" ref="G33:N33" si="3">G29*VLOOKUP($B$29,REP_LUB,5,0)+G30*VLOOKUP($B$30,REP_LUB,5,0)+G31*VLOOKUP($B$31,REP_LUB,5,0)+G32*VLOOKUP($B$32,REP_LUB,5,0)</f>
        <v>225.19709999999995</v>
      </c>
      <c r="H33" s="89">
        <f t="shared" si="3"/>
        <v>225.19709999999995</v>
      </c>
      <c r="I33" s="89">
        <f t="shared" si="3"/>
        <v>225.19709999999995</v>
      </c>
      <c r="J33" s="89">
        <f t="shared" si="3"/>
        <v>225.19709999999995</v>
      </c>
      <c r="K33" s="89">
        <f t="shared" si="3"/>
        <v>225.19709999999995</v>
      </c>
      <c r="L33" s="89">
        <f t="shared" si="3"/>
        <v>225.19709999999995</v>
      </c>
      <c r="M33" s="89">
        <f t="shared" si="3"/>
        <v>225.19709999999995</v>
      </c>
      <c r="N33" s="89">
        <f t="shared" si="3"/>
        <v>225.19709999999995</v>
      </c>
    </row>
    <row r="34" spans="2:14" ht="7.5" customHeight="1" x14ac:dyDescent="0.25">
      <c r="B34" s="121"/>
      <c r="E34" s="122"/>
      <c r="F34" s="122"/>
      <c r="G34" s="122"/>
      <c r="H34" s="122"/>
      <c r="I34" s="122"/>
      <c r="J34" s="122"/>
      <c r="K34" s="122"/>
      <c r="L34" s="122"/>
      <c r="M34" s="122"/>
      <c r="N34" s="123"/>
    </row>
    <row r="35" spans="2:14" ht="7.5" customHeight="1" x14ac:dyDescent="0.25">
      <c r="B35" s="121"/>
      <c r="E35" s="122"/>
      <c r="F35" s="122"/>
      <c r="G35" s="122"/>
      <c r="H35" s="122"/>
      <c r="I35" s="122"/>
      <c r="J35" s="122"/>
      <c r="K35" s="122"/>
      <c r="L35" s="122"/>
      <c r="M35" s="122"/>
      <c r="N35" s="123"/>
    </row>
    <row r="36" spans="2:14" ht="13.5" customHeight="1" x14ac:dyDescent="0.3">
      <c r="B36" s="124" t="s">
        <v>175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3"/>
    </row>
    <row r="37" spans="2:14" ht="12" customHeight="1" x14ac:dyDescent="0.25">
      <c r="B37" s="125" t="s">
        <v>159</v>
      </c>
      <c r="C37" s="126" t="s">
        <v>160</v>
      </c>
      <c r="D37" s="126"/>
      <c r="E37" s="126"/>
      <c r="F37" s="127" t="s">
        <v>161</v>
      </c>
      <c r="G37" s="127"/>
      <c r="H37" s="127"/>
      <c r="I37" s="127"/>
      <c r="J37" s="127"/>
      <c r="K37" s="127"/>
      <c r="L37" s="127"/>
      <c r="M37" s="127"/>
      <c r="N37" s="128"/>
    </row>
    <row r="38" spans="2:14" s="82" customFormat="1" ht="12.75" customHeight="1" x14ac:dyDescent="0.25">
      <c r="B38" s="189" t="s">
        <v>177</v>
      </c>
      <c r="C38" s="84" t="s">
        <v>178</v>
      </c>
      <c r="D38" s="84"/>
      <c r="E38" s="185"/>
      <c r="F38" s="80"/>
      <c r="G38" s="80"/>
      <c r="H38" s="80">
        <v>0.7</v>
      </c>
      <c r="I38" s="80"/>
      <c r="J38" s="80">
        <v>0.7</v>
      </c>
      <c r="K38" s="134"/>
      <c r="L38" s="134">
        <v>0.7</v>
      </c>
      <c r="M38" s="134"/>
      <c r="N38" s="81">
        <v>0.7</v>
      </c>
    </row>
    <row r="39" spans="2:14" s="82" customFormat="1" ht="12.75" customHeight="1" x14ac:dyDescent="0.25">
      <c r="B39" s="189" t="s">
        <v>179</v>
      </c>
      <c r="C39" s="84" t="s">
        <v>180</v>
      </c>
      <c r="D39" s="84"/>
      <c r="E39" s="185"/>
      <c r="F39" s="80"/>
      <c r="G39" s="80"/>
      <c r="H39" s="80"/>
      <c r="I39" s="80"/>
      <c r="J39" s="80">
        <v>14.5</v>
      </c>
      <c r="K39" s="134"/>
      <c r="L39" s="134">
        <v>14.5</v>
      </c>
      <c r="M39" s="134"/>
      <c r="N39" s="81">
        <v>14.5</v>
      </c>
    </row>
    <row r="40" spans="2:14" ht="12.75" customHeight="1" x14ac:dyDescent="0.25">
      <c r="B40" s="133" t="s">
        <v>173</v>
      </c>
      <c r="C40" s="103"/>
      <c r="D40" s="103"/>
      <c r="E40" s="104"/>
      <c r="F40" s="130"/>
      <c r="G40" s="130"/>
      <c r="H40" s="80"/>
      <c r="I40" s="80"/>
      <c r="J40" s="80"/>
      <c r="K40" s="134"/>
      <c r="L40" s="134"/>
      <c r="M40" s="134"/>
      <c r="N40" s="81"/>
    </row>
    <row r="41" spans="2:14" ht="12" customHeight="1" x14ac:dyDescent="0.25">
      <c r="B41" s="202" t="s">
        <v>182</v>
      </c>
      <c r="C41" s="203"/>
      <c r="D41" s="203"/>
      <c r="E41" s="203"/>
      <c r="F41" s="89">
        <f>F38*VLOOKUP($B$38,REP_LUB,5,0)+F39*VLOOKUP($B$39,REP_LUB,5,0)+F40*VLOOKUP($B$40,REP_LUB,5,0)</f>
        <v>0</v>
      </c>
      <c r="G41" s="89">
        <f t="shared" ref="G41:N41" si="4">G38*VLOOKUP($B$38,REP_LUB,5,0)+G39*VLOOKUP($B$39,REP_LUB,5,0)+G40*VLOOKUP($B$40,REP_LUB,5,0)</f>
        <v>0</v>
      </c>
      <c r="H41" s="89">
        <f t="shared" si="4"/>
        <v>46.743339999999996</v>
      </c>
      <c r="I41" s="89">
        <f t="shared" si="4"/>
        <v>0</v>
      </c>
      <c r="J41" s="89">
        <f t="shared" si="4"/>
        <v>627.17834000000005</v>
      </c>
      <c r="K41" s="89">
        <f t="shared" si="4"/>
        <v>0</v>
      </c>
      <c r="L41" s="89">
        <f t="shared" si="4"/>
        <v>627.17834000000005</v>
      </c>
      <c r="M41" s="89">
        <f t="shared" si="4"/>
        <v>0</v>
      </c>
      <c r="N41" s="89">
        <f t="shared" si="4"/>
        <v>627.17834000000005</v>
      </c>
    </row>
    <row r="42" spans="2:14" x14ac:dyDescent="0.25">
      <c r="N42" s="96"/>
    </row>
    <row r="43" spans="2:14" ht="13.5" customHeight="1" x14ac:dyDescent="0.3">
      <c r="B43" s="97" t="s">
        <v>183</v>
      </c>
      <c r="C43" s="98"/>
      <c r="D43" s="98"/>
      <c r="E43" s="135"/>
      <c r="F43" s="135"/>
      <c r="G43" s="135"/>
      <c r="H43" s="135"/>
      <c r="I43" s="135"/>
      <c r="J43" s="135"/>
      <c r="K43" s="135"/>
      <c r="L43" s="135"/>
      <c r="M43" s="135"/>
      <c r="N43" s="136"/>
    </row>
    <row r="44" spans="2:14" ht="12" customHeight="1" x14ac:dyDescent="0.25">
      <c r="B44" s="137"/>
      <c r="C44" s="72" t="s">
        <v>160</v>
      </c>
      <c r="D44" s="72"/>
      <c r="E44" s="72"/>
      <c r="F44" s="138"/>
      <c r="G44" s="138"/>
      <c r="H44" s="138"/>
      <c r="I44" s="138"/>
      <c r="J44" s="138"/>
      <c r="K44" s="138"/>
      <c r="L44" s="138"/>
      <c r="M44" s="138"/>
      <c r="N44" s="139"/>
    </row>
    <row r="45" spans="2:14" ht="12.75" customHeight="1" x14ac:dyDescent="0.25">
      <c r="B45" s="202" t="s">
        <v>184</v>
      </c>
      <c r="C45" s="203"/>
      <c r="D45" s="203"/>
      <c r="E45" s="203"/>
      <c r="F45" s="89">
        <v>0</v>
      </c>
      <c r="G45" s="89">
        <f t="shared" ref="G45:N45" si="5">MATERIALES</f>
        <v>94.399999999999991</v>
      </c>
      <c r="H45" s="89">
        <f t="shared" si="5"/>
        <v>94.399999999999991</v>
      </c>
      <c r="I45" s="89">
        <f t="shared" si="5"/>
        <v>94.399999999999991</v>
      </c>
      <c r="J45" s="89">
        <f t="shared" si="5"/>
        <v>94.399999999999991</v>
      </c>
      <c r="K45" s="89">
        <f t="shared" si="5"/>
        <v>94.399999999999991</v>
      </c>
      <c r="L45" s="89">
        <f t="shared" si="5"/>
        <v>94.399999999999991</v>
      </c>
      <c r="M45" s="89">
        <f t="shared" si="5"/>
        <v>94.399999999999991</v>
      </c>
      <c r="N45" s="140">
        <f t="shared" si="5"/>
        <v>94.399999999999991</v>
      </c>
    </row>
    <row r="46" spans="2:14" x14ac:dyDescent="0.25">
      <c r="N46" s="96"/>
    </row>
    <row r="47" spans="2:14" x14ac:dyDescent="0.25">
      <c r="N47" s="96"/>
    </row>
    <row r="48" spans="2:14" x14ac:dyDescent="0.25">
      <c r="B48" s="141" t="s">
        <v>185</v>
      </c>
      <c r="N48" s="96"/>
    </row>
    <row r="49" spans="2:14" ht="7.5" customHeight="1" x14ac:dyDescent="0.25"/>
    <row r="50" spans="2:14" s="145" customFormat="1" ht="13.8" x14ac:dyDescent="0.3">
      <c r="B50" s="142" t="s">
        <v>186</v>
      </c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4"/>
    </row>
    <row r="51" spans="2:14" s="145" customFormat="1" ht="13.8" x14ac:dyDescent="0.3">
      <c r="B51" s="146" t="s">
        <v>187</v>
      </c>
      <c r="C51" s="147" t="s">
        <v>188</v>
      </c>
      <c r="E51" s="148" t="s">
        <v>189</v>
      </c>
      <c r="F51" s="149" t="s">
        <v>190</v>
      </c>
      <c r="G51" s="147"/>
      <c r="H51" s="148" t="s">
        <v>191</v>
      </c>
      <c r="I51" s="149" t="s">
        <v>192</v>
      </c>
      <c r="K51" s="148" t="s">
        <v>193</v>
      </c>
      <c r="L51" s="149" t="s">
        <v>194</v>
      </c>
      <c r="M51" s="147"/>
      <c r="N51" s="150"/>
    </row>
    <row r="52" spans="2:14" s="145" customFormat="1" ht="13.8" x14ac:dyDescent="0.3">
      <c r="B52" s="151"/>
      <c r="C52" s="152" t="s">
        <v>194</v>
      </c>
      <c r="E52" s="55" t="s">
        <v>195</v>
      </c>
      <c r="F52" s="145" t="s">
        <v>266</v>
      </c>
      <c r="H52" s="55" t="s">
        <v>197</v>
      </c>
      <c r="I52" s="145" t="s">
        <v>198</v>
      </c>
      <c r="L52" s="145" t="s">
        <v>203</v>
      </c>
      <c r="N52" s="153"/>
    </row>
    <row r="53" spans="2:14" s="145" customFormat="1" ht="13.8" x14ac:dyDescent="0.3">
      <c r="B53" s="151"/>
      <c r="C53" s="145" t="s">
        <v>200</v>
      </c>
      <c r="F53" s="145" t="s">
        <v>201</v>
      </c>
      <c r="I53" s="145" t="s">
        <v>202</v>
      </c>
      <c r="L53" s="145" t="s">
        <v>207</v>
      </c>
      <c r="N53" s="153"/>
    </row>
    <row r="54" spans="2:14" s="145" customFormat="1" ht="13.8" x14ac:dyDescent="0.3">
      <c r="B54" s="151"/>
      <c r="C54" s="145" t="s">
        <v>204</v>
      </c>
      <c r="F54" s="145" t="s">
        <v>205</v>
      </c>
      <c r="I54" s="145" t="s">
        <v>206</v>
      </c>
      <c r="L54" s="145" t="s">
        <v>211</v>
      </c>
      <c r="N54" s="153"/>
    </row>
    <row r="55" spans="2:14" s="145" customFormat="1" ht="13.8" x14ac:dyDescent="0.3">
      <c r="B55" s="151"/>
      <c r="C55" s="145" t="s">
        <v>208</v>
      </c>
      <c r="F55" s="145" t="s">
        <v>209</v>
      </c>
      <c r="L55" s="145" t="s">
        <v>214</v>
      </c>
      <c r="N55" s="153"/>
    </row>
    <row r="56" spans="2:14" s="145" customFormat="1" ht="13.8" x14ac:dyDescent="0.3">
      <c r="B56" s="151"/>
      <c r="C56" s="145" t="s">
        <v>212</v>
      </c>
      <c r="F56" s="145" t="s">
        <v>216</v>
      </c>
      <c r="L56" s="145" t="s">
        <v>223</v>
      </c>
      <c r="N56" s="153"/>
    </row>
    <row r="57" spans="2:14" s="145" customFormat="1" ht="13.8" x14ac:dyDescent="0.3">
      <c r="B57" s="151"/>
      <c r="C57" s="145" t="s">
        <v>215</v>
      </c>
      <c r="F57" s="145" t="s">
        <v>222</v>
      </c>
      <c r="N57" s="153"/>
    </row>
    <row r="58" spans="2:14" s="145" customFormat="1" ht="13.8" x14ac:dyDescent="0.3">
      <c r="B58" s="151"/>
      <c r="C58" s="145" t="s">
        <v>221</v>
      </c>
      <c r="F58" s="145" t="s">
        <v>224</v>
      </c>
      <c r="N58" s="153"/>
    </row>
    <row r="59" spans="2:14" s="145" customFormat="1" ht="13.8" x14ac:dyDescent="0.3">
      <c r="B59" s="151"/>
      <c r="N59" s="153"/>
    </row>
    <row r="60" spans="2:14" s="145" customFormat="1" ht="13.8" x14ac:dyDescent="0.3">
      <c r="B60" s="151"/>
      <c r="N60" s="153"/>
    </row>
    <row r="61" spans="2:14" s="145" customFormat="1" ht="13.8" x14ac:dyDescent="0.3">
      <c r="B61" s="155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6"/>
    </row>
    <row r="62" spans="2:14" s="145" customFormat="1" ht="13.8" x14ac:dyDescent="0.3"/>
    <row r="63" spans="2:14" s="145" customFormat="1" ht="12" customHeight="1" x14ac:dyDescent="0.3">
      <c r="B63" s="157" t="s">
        <v>225</v>
      </c>
      <c r="C63" s="158"/>
      <c r="E63" s="159" t="s">
        <v>267</v>
      </c>
      <c r="F63" s="160"/>
      <c r="G63" s="161"/>
      <c r="I63" s="159" t="s">
        <v>268</v>
      </c>
      <c r="J63" s="159"/>
      <c r="K63" s="162"/>
    </row>
    <row r="64" spans="2:14" s="145" customFormat="1" ht="12" customHeight="1" x14ac:dyDescent="0.3">
      <c r="B64" s="163" t="s">
        <v>190</v>
      </c>
      <c r="C64" s="164"/>
      <c r="E64" s="163" t="s">
        <v>190</v>
      </c>
      <c r="G64" s="164"/>
      <c r="I64" s="163" t="s">
        <v>190</v>
      </c>
      <c r="K64" s="164"/>
    </row>
    <row r="65" spans="2:11" s="145" customFormat="1" ht="12" customHeight="1" x14ac:dyDescent="0.3">
      <c r="B65" s="151" t="s">
        <v>228</v>
      </c>
      <c r="C65" s="164"/>
      <c r="E65" s="151" t="s">
        <v>269</v>
      </c>
      <c r="F65" s="55"/>
      <c r="G65" s="164"/>
      <c r="I65" s="151" t="s">
        <v>270</v>
      </c>
      <c r="J65" s="55"/>
      <c r="K65" s="164"/>
    </row>
    <row r="66" spans="2:11" s="145" customFormat="1" ht="12" customHeight="1" x14ac:dyDescent="0.3">
      <c r="B66" s="151" t="s">
        <v>231</v>
      </c>
      <c r="C66" s="164"/>
      <c r="E66" s="165" t="s">
        <v>271</v>
      </c>
      <c r="F66" s="166"/>
      <c r="G66" s="167"/>
      <c r="I66" s="151" t="s">
        <v>272</v>
      </c>
      <c r="K66" s="164"/>
    </row>
    <row r="67" spans="2:11" s="145" customFormat="1" ht="12" customHeight="1" x14ac:dyDescent="0.3">
      <c r="B67" s="151" t="s">
        <v>234</v>
      </c>
      <c r="C67" s="168"/>
      <c r="E67" s="165"/>
      <c r="G67" s="168"/>
      <c r="I67" s="190" t="s">
        <v>273</v>
      </c>
      <c r="J67" s="154"/>
      <c r="K67" s="169"/>
    </row>
    <row r="68" spans="2:11" s="145" customFormat="1" ht="12" customHeight="1" x14ac:dyDescent="0.3">
      <c r="B68" s="151"/>
      <c r="C68" s="164"/>
      <c r="E68" s="163"/>
      <c r="G68" s="164"/>
    </row>
    <row r="69" spans="2:11" s="145" customFormat="1" ht="12" customHeight="1" x14ac:dyDescent="0.3">
      <c r="B69" s="163" t="s">
        <v>237</v>
      </c>
      <c r="C69" s="164"/>
      <c r="E69" s="155"/>
      <c r="F69" s="154"/>
      <c r="G69" s="170"/>
    </row>
    <row r="70" spans="2:11" s="145" customFormat="1" ht="12" customHeight="1" x14ac:dyDescent="0.3">
      <c r="B70" s="171" t="s">
        <v>239</v>
      </c>
      <c r="C70" s="170"/>
      <c r="F70" s="55"/>
      <c r="I70" s="151"/>
    </row>
    <row r="71" spans="2:11" s="145" customFormat="1" ht="13.8" x14ac:dyDescent="0.3"/>
  </sheetData>
  <mergeCells count="5">
    <mergeCell ref="B24:E24"/>
    <mergeCell ref="B25:E25"/>
    <mergeCell ref="B33:E33"/>
    <mergeCell ref="B41:E41"/>
    <mergeCell ref="B45:E4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F7F8-01ED-40AB-9892-53C651B85115}">
  <sheetPr>
    <tabColor theme="3" tint="-0.249977111117893"/>
  </sheetPr>
  <dimension ref="B3:O72"/>
  <sheetViews>
    <sheetView showGridLines="0" zoomScale="84" zoomScaleNormal="84" workbookViewId="0">
      <pane xSplit="5" ySplit="9" topLeftCell="F51" activePane="bottomRight" state="frozen"/>
      <selection activeCell="E72" sqref="E72"/>
      <selection pane="topRight" activeCell="E72" sqref="E72"/>
      <selection pane="bottomLeft" activeCell="E72" sqref="E72"/>
      <selection pane="bottomRight" activeCell="E72" sqref="E72"/>
    </sheetView>
  </sheetViews>
  <sheetFormatPr baseColWidth="10" defaultColWidth="11.44140625" defaultRowHeight="12" x14ac:dyDescent="0.25"/>
  <cols>
    <col min="1" max="1" width="1.6640625" style="52" customWidth="1"/>
    <col min="2" max="2" width="23.6640625" style="52" customWidth="1"/>
    <col min="3" max="3" width="24.33203125" style="52" customWidth="1"/>
    <col min="4" max="4" width="16.109375" style="52" customWidth="1"/>
    <col min="5" max="5" width="22.33203125" style="52" customWidth="1"/>
    <col min="6" max="10" width="12.88671875" style="52" customWidth="1"/>
    <col min="11" max="11" width="18.88671875" style="52" customWidth="1"/>
    <col min="12" max="12" width="12.88671875" style="52" customWidth="1"/>
    <col min="13" max="13" width="12.109375" style="52" customWidth="1"/>
    <col min="14" max="14" width="13.44140625" style="52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274</v>
      </c>
      <c r="D3" s="51"/>
      <c r="G3" s="53"/>
    </row>
    <row r="4" spans="2:15" ht="13.8" x14ac:dyDescent="0.3">
      <c r="B4" s="54" t="s">
        <v>7</v>
      </c>
      <c r="C4" s="52" t="s">
        <v>255</v>
      </c>
      <c r="D4" s="55"/>
    </row>
    <row r="5" spans="2:15" x14ac:dyDescent="0.25">
      <c r="B5" s="54" t="s">
        <v>113</v>
      </c>
      <c r="C5" s="52" t="s">
        <v>114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174">
        <f>+F25+F33+F42+F46</f>
        <v>0</v>
      </c>
      <c r="G6" s="174">
        <f t="shared" ref="G6:N6" si="0">+G25+G33+G42+G46</f>
        <v>723.81790000000001</v>
      </c>
      <c r="H6" s="174">
        <f t="shared" si="0"/>
        <v>1155.6862400000002</v>
      </c>
      <c r="I6" s="174">
        <f t="shared" si="0"/>
        <v>923.53289999999993</v>
      </c>
      <c r="J6" s="174">
        <f t="shared" si="0"/>
        <v>1879.5772400000005</v>
      </c>
      <c r="K6" s="174">
        <f t="shared" si="0"/>
        <v>723.81790000000001</v>
      </c>
      <c r="L6" s="174">
        <f t="shared" si="0"/>
        <v>2079.2922400000007</v>
      </c>
      <c r="M6" s="174">
        <f t="shared" si="0"/>
        <v>723.81790000000001</v>
      </c>
      <c r="N6" s="174">
        <f t="shared" si="0"/>
        <v>1879.5772400000005</v>
      </c>
    </row>
    <row r="7" spans="2:15" x14ac:dyDescent="0.25">
      <c r="B7" s="59" t="s">
        <v>124</v>
      </c>
      <c r="F7" s="60">
        <f>F24*[1]Precios!$I$6+F29*IFERROR(VLOOKUP($B$29,REP_COST,9,0),0)+F38*IFERROR(VLOOKUP($B$38,REP_COST,9,0),0)+F39*IFERROR(VLOOKUP($B$39,REP_COST,9,0),0)+F40*IFERROR(VLOOKUP($B$40,REP_COST,9,0),0)+IF(F46&gt;0,[1]Precios!$I$9,0)</f>
        <v>44.25</v>
      </c>
      <c r="G7" s="60">
        <f>G24*[1]Precios!$I$6+G29*IFERROR(VLOOKUP($B$29,REP_COST,9,0),0)+G38*IFERROR(VLOOKUP($B$38,REP_COST,9,0),0)+G39*IFERROR(VLOOKUP($B$39,REP_COST,9,0),0)+G40*IFERROR(VLOOKUP($B$40,REP_COST,9,0),0)+IF(G46&gt;0,[1]Precios!$I$9,0)</f>
        <v>209.45</v>
      </c>
      <c r="H7" s="60">
        <f>H24*[1]Precios!$I$6+H29*IFERROR(VLOOKUP($B$29,REP_COST,9,0),0)+H38*IFERROR(VLOOKUP($B$38,REP_COST,9,0),0)+H39*IFERROR(VLOOKUP($B$39,REP_COST,9,0),0)+H40*IFERROR(VLOOKUP($B$40,REP_COST,9,0),0)+IF(H46&gt;0,[1]Precios!$I$9,0)</f>
        <v>330.37304</v>
      </c>
      <c r="I7" s="60">
        <f>I24*[1]Precios!$I$6+I29*IFERROR(VLOOKUP($B$29,REP_COST,9,0),0)+I38*IFERROR(VLOOKUP($B$38,REP_COST,9,0),0)+I39*IFERROR(VLOOKUP($B$39,REP_COST,9,0),0)+I40*IFERROR(VLOOKUP($B$40,REP_COST,9,0),0)+IF(I46&gt;0,[1]Precios!$I$9,0)</f>
        <v>227.15</v>
      </c>
      <c r="J7" s="60">
        <f>J24*[1]Precios!$I$6+J29*IFERROR(VLOOKUP($B$29,REP_COST,9,0),0)+J38*IFERROR(VLOOKUP($B$38,REP_COST,9,0),0)+J39*IFERROR(VLOOKUP($B$39,REP_COST,9,0),0)+J40*IFERROR(VLOOKUP($B$40,REP_COST,9,0),0)+IF(J46&gt;0,[1]Precios!$I$9,0)</f>
        <v>647.07560000000012</v>
      </c>
      <c r="K7" s="60">
        <f>K24*[1]Precios!$I$6+K29*IFERROR(VLOOKUP($B$29,REP_COST,9,0),0)+K38*IFERROR(VLOOKUP($B$38,REP_COST,9,0),0)+K39*IFERROR(VLOOKUP($B$39,REP_COST,9,0),0)+K40*IFERROR(VLOOKUP($B$40,REP_COST,9,0),0)+IF(K46&gt;0,[1]Precios!$I$9,0)</f>
        <v>209.45</v>
      </c>
      <c r="L7" s="60">
        <f>L24*[1]Precios!$I$6+L29*IFERROR(VLOOKUP($B$29,REP_COST,9,0),0)+L38*IFERROR(VLOOKUP($B$38,REP_COST,9,0),0)+L39*IFERROR(VLOOKUP($B$39,REP_COST,9,0),0)+L40*IFERROR(VLOOKUP($B$40,REP_COST,9,0),0)+IF(L46&gt;0,[1]Precios!$I$9,0)</f>
        <v>664.77560000000017</v>
      </c>
      <c r="M7" s="60">
        <f>M24*[1]Precios!$I$6+M29*IFERROR(VLOOKUP($B$29,REP_COST,9,0),0)+M38*IFERROR(VLOOKUP($B$38,REP_COST,9,0),0)+M39*IFERROR(VLOOKUP($B$39,REP_COST,9,0),0)+M40*IFERROR(VLOOKUP($B$40,REP_COST,9,0),0)+IF(M46&gt;0,[1]Precios!$I$9,0)</f>
        <v>209.45</v>
      </c>
      <c r="N7" s="60">
        <f>N24*[1]Precios!$I$6+N29*IFERROR(VLOOKUP($B$29,REP_COST,9,0),0)+N38*IFERROR(VLOOKUP($B$38,REP_COST,9,0),0)+N39*IFERROR(VLOOKUP($B$39,REP_COST,9,0),0)+N40*IFERROR(VLOOKUP($B$40,REP_COST,9,0),0)+IF(N46&gt;0,[1]Precios!$I$9,0)</f>
        <v>647.07560000000012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s="82" customFormat="1" ht="12" customHeight="1" x14ac:dyDescent="0.25">
      <c r="B11" s="83">
        <v>1</v>
      </c>
      <c r="C11" s="84" t="s">
        <v>146</v>
      </c>
      <c r="D11" s="84"/>
      <c r="E11" s="85"/>
      <c r="F11" s="79"/>
      <c r="G11" s="80"/>
      <c r="H11" s="80">
        <v>0.8</v>
      </c>
      <c r="I11" s="80"/>
      <c r="J11" s="80">
        <v>0.8</v>
      </c>
      <c r="K11" s="80"/>
      <c r="L11" s="80">
        <v>0.8</v>
      </c>
      <c r="M11" s="80"/>
      <c r="N11" s="81">
        <v>0.8</v>
      </c>
    </row>
    <row r="12" spans="2:15" s="82" customFormat="1" ht="12" customHeight="1" x14ac:dyDescent="0.25">
      <c r="B12" s="83">
        <v>2</v>
      </c>
      <c r="C12" s="84" t="s">
        <v>275</v>
      </c>
      <c r="D12" s="84"/>
      <c r="E12" s="85"/>
      <c r="F12" s="175"/>
      <c r="G12" s="177"/>
      <c r="H12" s="177"/>
      <c r="I12" s="177">
        <v>0.2</v>
      </c>
      <c r="J12" s="177"/>
      <c r="K12" s="177"/>
      <c r="L12" s="177">
        <v>0.2</v>
      </c>
      <c r="M12" s="177"/>
      <c r="N12" s="178"/>
    </row>
    <row r="13" spans="2:15" s="82" customFormat="1" ht="12" customHeight="1" x14ac:dyDescent="0.25">
      <c r="B13" s="83">
        <v>3</v>
      </c>
      <c r="C13" s="84" t="s">
        <v>148</v>
      </c>
      <c r="D13" s="84"/>
      <c r="E13" s="85"/>
      <c r="F13" s="79"/>
      <c r="G13" s="80"/>
      <c r="H13" s="176"/>
      <c r="I13" s="80"/>
      <c r="J13" s="177">
        <v>0.5</v>
      </c>
      <c r="K13" s="177"/>
      <c r="L13" s="177">
        <v>0.5</v>
      </c>
      <c r="M13" s="177"/>
      <c r="N13" s="178">
        <v>0.5</v>
      </c>
    </row>
    <row r="14" spans="2:15" s="82" customFormat="1" ht="12" customHeight="1" x14ac:dyDescent="0.25">
      <c r="B14" s="83">
        <v>4</v>
      </c>
      <c r="C14" s="84" t="s">
        <v>258</v>
      </c>
      <c r="D14" s="84"/>
      <c r="E14" s="85"/>
      <c r="F14" s="79"/>
      <c r="G14" s="80"/>
      <c r="H14" s="177">
        <v>0.2</v>
      </c>
      <c r="I14" s="177"/>
      <c r="J14" s="177">
        <v>0.2</v>
      </c>
      <c r="K14" s="177"/>
      <c r="L14" s="177">
        <v>0.2</v>
      </c>
      <c r="M14" s="177"/>
      <c r="N14" s="178">
        <v>0.2</v>
      </c>
    </row>
    <row r="15" spans="2:15" s="82" customFormat="1" ht="12" customHeight="1" x14ac:dyDescent="0.25">
      <c r="B15" s="83">
        <v>5</v>
      </c>
      <c r="C15" s="84" t="s">
        <v>259</v>
      </c>
      <c r="D15" s="84"/>
      <c r="E15" s="85"/>
      <c r="F15" s="79"/>
      <c r="G15" s="177">
        <v>0.2</v>
      </c>
      <c r="H15" s="177">
        <v>0.2</v>
      </c>
      <c r="I15" s="177">
        <v>0.2</v>
      </c>
      <c r="J15" s="177">
        <v>0.2</v>
      </c>
      <c r="K15" s="177">
        <v>0.2</v>
      </c>
      <c r="L15" s="177">
        <v>0.2</v>
      </c>
      <c r="M15" s="177">
        <v>0.2</v>
      </c>
      <c r="N15" s="177">
        <v>0.2</v>
      </c>
    </row>
    <row r="16" spans="2:15" s="183" customFormat="1" ht="12" customHeight="1" x14ac:dyDescent="0.25">
      <c r="B16" s="179">
        <v>6</v>
      </c>
      <c r="C16" s="180" t="s">
        <v>260</v>
      </c>
      <c r="D16" s="180"/>
      <c r="E16" s="181"/>
      <c r="F16" s="182"/>
      <c r="G16" s="177">
        <v>0.2</v>
      </c>
      <c r="H16" s="177">
        <v>0.2</v>
      </c>
      <c r="I16" s="177">
        <v>0.2</v>
      </c>
      <c r="J16" s="177">
        <v>0.2</v>
      </c>
      <c r="K16" s="177">
        <v>0.2</v>
      </c>
      <c r="L16" s="177">
        <v>0.2</v>
      </c>
      <c r="M16" s="177">
        <v>0.2</v>
      </c>
      <c r="N16" s="177">
        <v>0.2</v>
      </c>
    </row>
    <row r="17" spans="2:14" s="82" customFormat="1" ht="12" customHeight="1" x14ac:dyDescent="0.25">
      <c r="B17" s="83">
        <v>7</v>
      </c>
      <c r="C17" s="84" t="s">
        <v>261</v>
      </c>
      <c r="D17" s="84"/>
      <c r="E17" s="85"/>
      <c r="F17" s="79"/>
      <c r="G17" s="177">
        <v>0.2</v>
      </c>
      <c r="H17" s="177">
        <v>0.2</v>
      </c>
      <c r="I17" s="177">
        <v>0.2</v>
      </c>
      <c r="J17" s="177">
        <v>0.2</v>
      </c>
      <c r="K17" s="177">
        <v>0.2</v>
      </c>
      <c r="L17" s="177">
        <v>0.2</v>
      </c>
      <c r="M17" s="177">
        <v>0.2</v>
      </c>
      <c r="N17" s="177">
        <v>0.2</v>
      </c>
    </row>
    <row r="18" spans="2:14" s="82" customFormat="1" ht="12" customHeight="1" x14ac:dyDescent="0.25">
      <c r="B18" s="83">
        <v>8</v>
      </c>
      <c r="C18" s="84" t="s">
        <v>150</v>
      </c>
      <c r="D18" s="84"/>
      <c r="E18" s="85"/>
      <c r="F18" s="79">
        <v>0.5</v>
      </c>
      <c r="G18" s="80">
        <v>0.5</v>
      </c>
      <c r="H18" s="80">
        <v>0.5</v>
      </c>
      <c r="I18" s="80">
        <v>0.5</v>
      </c>
      <c r="J18" s="80">
        <v>0.5</v>
      </c>
      <c r="K18" s="80">
        <v>0.5</v>
      </c>
      <c r="L18" s="80">
        <v>0.5</v>
      </c>
      <c r="M18" s="80">
        <v>0.5</v>
      </c>
      <c r="N18" s="81">
        <v>0.5</v>
      </c>
    </row>
    <row r="19" spans="2:14" s="82" customFormat="1" ht="12" customHeight="1" x14ac:dyDescent="0.25">
      <c r="B19" s="83">
        <v>9</v>
      </c>
      <c r="C19" s="84" t="s">
        <v>151</v>
      </c>
      <c r="D19" s="84"/>
      <c r="E19" s="85"/>
      <c r="F19" s="79"/>
      <c r="G19" s="80">
        <v>0.2</v>
      </c>
      <c r="H19" s="80">
        <v>0.2</v>
      </c>
      <c r="I19" s="80">
        <v>0.2</v>
      </c>
      <c r="J19" s="80">
        <v>0.2</v>
      </c>
      <c r="K19" s="80">
        <v>0.2</v>
      </c>
      <c r="L19" s="80">
        <v>0.2</v>
      </c>
      <c r="M19" s="80">
        <v>0.2</v>
      </c>
      <c r="N19" s="81">
        <v>0.2</v>
      </c>
    </row>
    <row r="20" spans="2:14" s="82" customFormat="1" ht="12" customHeight="1" x14ac:dyDescent="0.25">
      <c r="B20" s="83">
        <v>10</v>
      </c>
      <c r="C20" s="84" t="s">
        <v>262</v>
      </c>
      <c r="D20" s="84"/>
      <c r="E20" s="85"/>
      <c r="F20" s="79"/>
      <c r="G20" s="80"/>
      <c r="H20" s="80">
        <v>0.2</v>
      </c>
      <c r="I20" s="80"/>
      <c r="J20" s="80">
        <v>0.2</v>
      </c>
      <c r="K20" s="80"/>
      <c r="L20" s="80">
        <v>0.2</v>
      </c>
      <c r="M20" s="80"/>
      <c r="N20" s="81">
        <v>0.2</v>
      </c>
    </row>
    <row r="21" spans="2:14" s="82" customFormat="1" ht="12" customHeight="1" x14ac:dyDescent="0.25">
      <c r="B21" s="83">
        <v>11</v>
      </c>
      <c r="C21" s="84" t="s">
        <v>263</v>
      </c>
      <c r="D21" s="84"/>
      <c r="E21" s="85"/>
      <c r="F21" s="79"/>
      <c r="G21" s="177">
        <v>0.2</v>
      </c>
      <c r="H21" s="177">
        <v>0.2</v>
      </c>
      <c r="I21" s="177">
        <v>0.2</v>
      </c>
      <c r="J21" s="177">
        <v>0.2</v>
      </c>
      <c r="K21" s="177">
        <v>0.2</v>
      </c>
      <c r="L21" s="177">
        <v>0.2</v>
      </c>
      <c r="M21" s="177">
        <v>0.2</v>
      </c>
      <c r="N21" s="177">
        <v>0.2</v>
      </c>
    </row>
    <row r="22" spans="2:14" s="82" customFormat="1" ht="12" customHeight="1" x14ac:dyDescent="0.25">
      <c r="B22" s="83">
        <v>12</v>
      </c>
      <c r="C22" s="84" t="s">
        <v>155</v>
      </c>
      <c r="D22" s="84"/>
      <c r="E22" s="85"/>
      <c r="F22" s="79"/>
      <c r="G22" s="80">
        <v>0.2</v>
      </c>
      <c r="H22" s="80">
        <v>0.2</v>
      </c>
      <c r="I22" s="80">
        <v>0.2</v>
      </c>
      <c r="J22" s="80">
        <v>0.2</v>
      </c>
      <c r="K22" s="80">
        <v>0.2</v>
      </c>
      <c r="L22" s="80">
        <v>0.2</v>
      </c>
      <c r="M22" s="80">
        <v>0.2</v>
      </c>
      <c r="N22" s="81">
        <v>0.2</v>
      </c>
    </row>
    <row r="23" spans="2:14" s="82" customFormat="1" ht="12" customHeight="1" x14ac:dyDescent="0.25">
      <c r="B23" s="83"/>
      <c r="C23" s="84"/>
      <c r="D23" s="84"/>
      <c r="E23" s="85"/>
      <c r="F23" s="79"/>
      <c r="G23" s="80"/>
      <c r="H23" s="80"/>
      <c r="I23" s="80"/>
      <c r="J23" s="80"/>
      <c r="K23" s="80"/>
      <c r="L23" s="80"/>
      <c r="M23" s="80"/>
      <c r="N23" s="81"/>
    </row>
    <row r="24" spans="2:14" ht="12" customHeight="1" x14ac:dyDescent="0.25">
      <c r="B24" s="202" t="s">
        <v>156</v>
      </c>
      <c r="C24" s="203"/>
      <c r="D24" s="203"/>
      <c r="E24" s="203"/>
      <c r="F24" s="86">
        <f>SUM(F11:F23)</f>
        <v>0.5</v>
      </c>
      <c r="G24" s="87">
        <f t="shared" ref="G24:N24" si="1">SUM(G11:G23)</f>
        <v>1.7</v>
      </c>
      <c r="H24" s="87">
        <f t="shared" si="1"/>
        <v>2.9000000000000004</v>
      </c>
      <c r="I24" s="87">
        <f t="shared" si="1"/>
        <v>1.9</v>
      </c>
      <c r="J24" s="87">
        <f t="shared" si="1"/>
        <v>3.4000000000000008</v>
      </c>
      <c r="K24" s="87">
        <f t="shared" si="1"/>
        <v>1.7</v>
      </c>
      <c r="L24" s="87">
        <f t="shared" si="1"/>
        <v>3.600000000000001</v>
      </c>
      <c r="M24" s="87">
        <f t="shared" si="1"/>
        <v>1.7</v>
      </c>
      <c r="N24" s="88">
        <f t="shared" si="1"/>
        <v>3.4000000000000008</v>
      </c>
    </row>
    <row r="25" spans="2:14" ht="12" customHeight="1" x14ac:dyDescent="0.25">
      <c r="B25" s="202" t="s">
        <v>157</v>
      </c>
      <c r="C25" s="203"/>
      <c r="D25" s="203"/>
      <c r="E25" s="203"/>
      <c r="F25" s="89">
        <v>0</v>
      </c>
      <c r="G25" s="90">
        <f>+G24*HH</f>
        <v>528.58100000000002</v>
      </c>
      <c r="H25" s="92">
        <f t="shared" ref="H25:N25" si="2">+H24*HH</f>
        <v>901.69700000000012</v>
      </c>
      <c r="I25" s="92">
        <f t="shared" si="2"/>
        <v>590.76699999999994</v>
      </c>
      <c r="J25" s="92">
        <f t="shared" si="2"/>
        <v>1057.1620000000003</v>
      </c>
      <c r="K25" s="92">
        <f t="shared" si="2"/>
        <v>528.58100000000002</v>
      </c>
      <c r="L25" s="92">
        <f t="shared" si="2"/>
        <v>1119.3480000000004</v>
      </c>
      <c r="M25" s="92">
        <f t="shared" si="2"/>
        <v>528.58100000000002</v>
      </c>
      <c r="N25" s="93">
        <f t="shared" si="2"/>
        <v>1057.1620000000003</v>
      </c>
    </row>
    <row r="26" spans="2:14" x14ac:dyDescent="0.25">
      <c r="B26" s="94"/>
      <c r="E26" s="95"/>
      <c r="N26" s="96"/>
    </row>
    <row r="27" spans="2:14" ht="13.5" customHeight="1" x14ac:dyDescent="0.3">
      <c r="B27" s="97" t="s">
        <v>158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9"/>
    </row>
    <row r="28" spans="2:14" x14ac:dyDescent="0.25">
      <c r="B28" s="100" t="s">
        <v>159</v>
      </c>
      <c r="C28" s="101" t="s">
        <v>160</v>
      </c>
      <c r="D28" s="101"/>
      <c r="E28" s="101"/>
      <c r="F28" s="74" t="s">
        <v>161</v>
      </c>
      <c r="G28" s="74"/>
      <c r="H28" s="74"/>
      <c r="I28" s="74"/>
      <c r="J28" s="74"/>
      <c r="K28" s="74"/>
      <c r="L28" s="74"/>
      <c r="M28" s="74"/>
      <c r="N28" s="75"/>
    </row>
    <row r="29" spans="2:14" ht="12" customHeight="1" x14ac:dyDescent="0.25">
      <c r="B29" s="184" t="s">
        <v>276</v>
      </c>
      <c r="C29" s="84" t="s">
        <v>265</v>
      </c>
      <c r="D29" s="84"/>
      <c r="E29" s="185"/>
      <c r="F29" s="105"/>
      <c r="G29" s="105">
        <v>1</v>
      </c>
      <c r="H29" s="105">
        <v>1</v>
      </c>
      <c r="I29" s="105">
        <v>1</v>
      </c>
      <c r="J29" s="105">
        <v>1</v>
      </c>
      <c r="K29" s="105">
        <v>1</v>
      </c>
      <c r="L29" s="105">
        <v>1</v>
      </c>
      <c r="M29" s="105">
        <v>1</v>
      </c>
      <c r="N29" s="106">
        <v>1</v>
      </c>
    </row>
    <row r="30" spans="2:14" ht="12" customHeight="1" x14ac:dyDescent="0.25">
      <c r="B30" s="186" t="s">
        <v>173</v>
      </c>
      <c r="C30" s="187"/>
      <c r="D30" s="187"/>
      <c r="E30" s="188"/>
      <c r="F30" s="110"/>
      <c r="G30" s="110"/>
      <c r="H30" s="110"/>
      <c r="I30" s="110"/>
      <c r="J30" s="110"/>
      <c r="K30" s="110"/>
      <c r="L30" s="110"/>
      <c r="M30" s="110"/>
      <c r="N30" s="111"/>
    </row>
    <row r="31" spans="2:14" ht="12" customHeight="1" x14ac:dyDescent="0.25">
      <c r="B31" s="114" t="s">
        <v>173</v>
      </c>
      <c r="C31" s="115"/>
      <c r="D31" s="115"/>
      <c r="E31" s="116"/>
      <c r="F31" s="117"/>
      <c r="G31" s="117"/>
      <c r="H31" s="117"/>
      <c r="I31" s="118"/>
      <c r="J31" s="118"/>
      <c r="K31" s="118"/>
      <c r="L31" s="118"/>
      <c r="M31" s="118"/>
      <c r="N31" s="119"/>
    </row>
    <row r="32" spans="2:14" ht="12" customHeight="1" x14ac:dyDescent="0.25">
      <c r="B32" s="120" t="s">
        <v>173</v>
      </c>
      <c r="C32" s="115"/>
      <c r="D32" s="115"/>
      <c r="E32" s="116"/>
      <c r="F32" s="117"/>
      <c r="G32" s="117"/>
      <c r="H32" s="117"/>
      <c r="I32" s="117"/>
      <c r="J32" s="117"/>
      <c r="K32" s="117"/>
      <c r="L32" s="117"/>
      <c r="M32" s="117"/>
      <c r="N32" s="119"/>
    </row>
    <row r="33" spans="2:14" ht="12" customHeight="1" x14ac:dyDescent="0.25">
      <c r="B33" s="202" t="s">
        <v>174</v>
      </c>
      <c r="C33" s="203"/>
      <c r="D33" s="203"/>
      <c r="E33" s="203"/>
      <c r="F33" s="89">
        <f t="shared" ref="F33:N33" si="3">F29*VLOOKUP($B$29,REP_LUB,5,0)+F30*VLOOKUP($B$30,REP_LUB,5,0)+F31*VLOOKUP($B$31,REP_LUB,5,0)+F32*VLOOKUP($B$32,REP_LUB,5,0)</f>
        <v>0</v>
      </c>
      <c r="G33" s="89">
        <f>G29*VLOOKUP($B$29,REP_LUB,5,0)+G30*VLOOKUP($B$30,REP_LUB,5,0)+G31*VLOOKUP($B$31,REP_LUB,5,0)+G32*VLOOKUP($B$32,REP_LUB,5,0)</f>
        <v>100.83689999999999</v>
      </c>
      <c r="H33" s="89">
        <f t="shared" si="3"/>
        <v>100.83689999999999</v>
      </c>
      <c r="I33" s="89">
        <f t="shared" si="3"/>
        <v>100.83689999999999</v>
      </c>
      <c r="J33" s="89">
        <f t="shared" si="3"/>
        <v>100.83689999999999</v>
      </c>
      <c r="K33" s="89">
        <f t="shared" si="3"/>
        <v>100.83689999999999</v>
      </c>
      <c r="L33" s="89">
        <f t="shared" si="3"/>
        <v>100.83689999999999</v>
      </c>
      <c r="M33" s="89">
        <f t="shared" si="3"/>
        <v>100.83689999999999</v>
      </c>
      <c r="N33" s="89">
        <f t="shared" si="3"/>
        <v>100.83689999999999</v>
      </c>
    </row>
    <row r="34" spans="2:14" ht="7.5" customHeight="1" x14ac:dyDescent="0.25">
      <c r="B34" s="121"/>
      <c r="E34" s="122"/>
      <c r="F34" s="122"/>
      <c r="G34" s="122"/>
      <c r="H34" s="122"/>
      <c r="I34" s="122"/>
      <c r="J34" s="122"/>
      <c r="K34" s="122"/>
      <c r="L34" s="122"/>
      <c r="M34" s="122"/>
      <c r="N34" s="123"/>
    </row>
    <row r="35" spans="2:14" ht="7.5" customHeight="1" x14ac:dyDescent="0.25">
      <c r="B35" s="121"/>
      <c r="E35" s="122"/>
      <c r="F35" s="122"/>
      <c r="G35" s="122"/>
      <c r="H35" s="122"/>
      <c r="I35" s="122"/>
      <c r="J35" s="122"/>
      <c r="K35" s="122"/>
      <c r="L35" s="122"/>
      <c r="M35" s="122"/>
      <c r="N35" s="123"/>
    </row>
    <row r="36" spans="2:14" ht="13.5" customHeight="1" x14ac:dyDescent="0.3">
      <c r="B36" s="124" t="s">
        <v>175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3"/>
    </row>
    <row r="37" spans="2:14" ht="12" customHeight="1" x14ac:dyDescent="0.25">
      <c r="B37" s="125" t="s">
        <v>159</v>
      </c>
      <c r="C37" s="126" t="s">
        <v>160</v>
      </c>
      <c r="D37" s="126"/>
      <c r="E37" s="126"/>
      <c r="F37" s="127" t="s">
        <v>161</v>
      </c>
      <c r="G37" s="127"/>
      <c r="H37" s="127"/>
      <c r="I37" s="127"/>
      <c r="J37" s="127"/>
      <c r="K37" s="127"/>
      <c r="L37" s="127"/>
      <c r="M37" s="127"/>
      <c r="N37" s="128"/>
    </row>
    <row r="38" spans="2:14" s="82" customFormat="1" ht="11.4" customHeight="1" x14ac:dyDescent="0.25">
      <c r="B38" s="189" t="s">
        <v>177</v>
      </c>
      <c r="C38" s="84" t="s">
        <v>178</v>
      </c>
      <c r="D38" s="84"/>
      <c r="E38" s="185"/>
      <c r="F38" s="80"/>
      <c r="G38" s="80"/>
      <c r="H38" s="80">
        <v>0.7</v>
      </c>
      <c r="I38" s="80"/>
      <c r="J38" s="80">
        <v>0.7</v>
      </c>
      <c r="K38" s="134"/>
      <c r="L38" s="134">
        <v>0.7</v>
      </c>
      <c r="M38" s="134"/>
      <c r="N38" s="81">
        <v>0.7</v>
      </c>
    </row>
    <row r="39" spans="2:14" s="82" customFormat="1" ht="12.75" customHeight="1" x14ac:dyDescent="0.25">
      <c r="B39" s="189" t="s">
        <v>179</v>
      </c>
      <c r="C39" s="84" t="s">
        <v>180</v>
      </c>
      <c r="D39" s="84"/>
      <c r="E39" s="185"/>
      <c r="F39" s="80"/>
      <c r="G39" s="80"/>
      <c r="H39" s="80">
        <v>0.3</v>
      </c>
      <c r="I39" s="80"/>
      <c r="J39" s="80">
        <v>14.5</v>
      </c>
      <c r="K39" s="134"/>
      <c r="L39" s="134">
        <v>14.5</v>
      </c>
      <c r="M39" s="134"/>
      <c r="N39" s="81">
        <v>14.5</v>
      </c>
    </row>
    <row r="40" spans="2:14" s="82" customFormat="1" ht="12.75" customHeight="1" x14ac:dyDescent="0.25">
      <c r="B40" s="189" t="s">
        <v>277</v>
      </c>
      <c r="C40" s="84" t="s">
        <v>278</v>
      </c>
      <c r="D40" s="84"/>
      <c r="E40" s="185"/>
      <c r="F40" s="80"/>
      <c r="G40" s="80"/>
      <c r="H40" s="80"/>
      <c r="I40" s="80">
        <v>1</v>
      </c>
      <c r="J40" s="80"/>
      <c r="K40" s="134"/>
      <c r="L40" s="134">
        <v>1</v>
      </c>
      <c r="M40" s="134"/>
      <c r="N40" s="81"/>
    </row>
    <row r="41" spans="2:14" ht="12.75" customHeight="1" x14ac:dyDescent="0.25">
      <c r="B41" s="133" t="s">
        <v>173</v>
      </c>
      <c r="C41" s="103"/>
      <c r="D41" s="103"/>
      <c r="E41" s="104"/>
      <c r="F41" s="130"/>
      <c r="G41" s="130"/>
      <c r="H41" s="80"/>
      <c r="I41" s="80"/>
      <c r="J41" s="80"/>
      <c r="K41" s="134"/>
      <c r="L41" s="134"/>
      <c r="M41" s="134"/>
      <c r="N41" s="81"/>
    </row>
    <row r="42" spans="2:14" ht="12" customHeight="1" x14ac:dyDescent="0.25">
      <c r="B42" s="202" t="s">
        <v>182</v>
      </c>
      <c r="C42" s="203"/>
      <c r="D42" s="203"/>
      <c r="E42" s="203"/>
      <c r="F42" s="89">
        <f t="shared" ref="F42:N42" si="4">F38*VLOOKUP($B$38,REP_LUB,5,0)+F39*VLOOKUP($B$39,REP_LUB,5,0)+F40*VLOOKUP($B$40,REP_LUB,5,0)</f>
        <v>0</v>
      </c>
      <c r="G42" s="89">
        <f t="shared" si="4"/>
        <v>0</v>
      </c>
      <c r="H42" s="89">
        <f t="shared" si="4"/>
        <v>58.752339999999997</v>
      </c>
      <c r="I42" s="89">
        <f t="shared" si="4"/>
        <v>137.529</v>
      </c>
      <c r="J42" s="89">
        <f t="shared" si="4"/>
        <v>627.17834000000005</v>
      </c>
      <c r="K42" s="89">
        <f t="shared" si="4"/>
        <v>0</v>
      </c>
      <c r="L42" s="89">
        <f t="shared" si="4"/>
        <v>764.70734000000004</v>
      </c>
      <c r="M42" s="89">
        <f t="shared" si="4"/>
        <v>0</v>
      </c>
      <c r="N42" s="89">
        <f t="shared" si="4"/>
        <v>627.17834000000005</v>
      </c>
    </row>
    <row r="43" spans="2:14" x14ac:dyDescent="0.25">
      <c r="N43" s="96"/>
    </row>
    <row r="44" spans="2:14" ht="13.5" customHeight="1" x14ac:dyDescent="0.3">
      <c r="B44" s="97" t="s">
        <v>183</v>
      </c>
      <c r="C44" s="98"/>
      <c r="D44" s="98"/>
      <c r="E44" s="135"/>
      <c r="F44" s="135"/>
      <c r="G44" s="135"/>
      <c r="H44" s="135"/>
      <c r="I44" s="135"/>
      <c r="J44" s="135"/>
      <c r="K44" s="135"/>
      <c r="L44" s="135"/>
      <c r="M44" s="135"/>
      <c r="N44" s="136"/>
    </row>
    <row r="45" spans="2:14" ht="12" customHeight="1" x14ac:dyDescent="0.25">
      <c r="B45" s="137"/>
      <c r="C45" s="72" t="s">
        <v>160</v>
      </c>
      <c r="D45" s="72"/>
      <c r="E45" s="72"/>
      <c r="F45" s="138"/>
      <c r="G45" s="138"/>
      <c r="H45" s="138"/>
      <c r="I45" s="138"/>
      <c r="J45" s="138"/>
      <c r="K45" s="138"/>
      <c r="L45" s="138"/>
      <c r="M45" s="138"/>
      <c r="N45" s="139"/>
    </row>
    <row r="46" spans="2:14" ht="12.75" customHeight="1" x14ac:dyDescent="0.25">
      <c r="B46" s="202" t="s">
        <v>184</v>
      </c>
      <c r="C46" s="203"/>
      <c r="D46" s="203"/>
      <c r="E46" s="203"/>
      <c r="F46" s="89">
        <v>0</v>
      </c>
      <c r="G46" s="89">
        <f t="shared" ref="G46:N46" si="5">MATERIALES</f>
        <v>94.399999999999991</v>
      </c>
      <c r="H46" s="89">
        <f t="shared" si="5"/>
        <v>94.399999999999991</v>
      </c>
      <c r="I46" s="89">
        <f t="shared" si="5"/>
        <v>94.399999999999991</v>
      </c>
      <c r="J46" s="89">
        <f t="shared" si="5"/>
        <v>94.399999999999991</v>
      </c>
      <c r="K46" s="89">
        <f t="shared" si="5"/>
        <v>94.399999999999991</v>
      </c>
      <c r="L46" s="89">
        <f t="shared" si="5"/>
        <v>94.399999999999991</v>
      </c>
      <c r="M46" s="89">
        <f t="shared" si="5"/>
        <v>94.399999999999991</v>
      </c>
      <c r="N46" s="140">
        <f t="shared" si="5"/>
        <v>94.399999999999991</v>
      </c>
    </row>
    <row r="47" spans="2:14" x14ac:dyDescent="0.25">
      <c r="N47" s="96"/>
    </row>
    <row r="48" spans="2:14" x14ac:dyDescent="0.25">
      <c r="N48" s="96"/>
    </row>
    <row r="49" spans="2:14" x14ac:dyDescent="0.25">
      <c r="B49" s="141" t="s">
        <v>185</v>
      </c>
      <c r="N49" s="96"/>
    </row>
    <row r="50" spans="2:14" ht="7.5" customHeight="1" x14ac:dyDescent="0.25"/>
    <row r="51" spans="2:14" s="145" customFormat="1" ht="13.8" x14ac:dyDescent="0.3">
      <c r="B51" s="142" t="s">
        <v>186</v>
      </c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4"/>
    </row>
    <row r="52" spans="2:14" s="145" customFormat="1" ht="13.8" x14ac:dyDescent="0.3">
      <c r="B52" s="146" t="s">
        <v>187</v>
      </c>
      <c r="C52" s="147" t="s">
        <v>188</v>
      </c>
      <c r="E52" s="148" t="s">
        <v>189</v>
      </c>
      <c r="F52" s="149" t="s">
        <v>190</v>
      </c>
      <c r="G52" s="147"/>
      <c r="H52" s="148" t="s">
        <v>191</v>
      </c>
      <c r="I52" s="149" t="s">
        <v>192</v>
      </c>
      <c r="K52" s="148" t="s">
        <v>193</v>
      </c>
      <c r="L52" s="149" t="s">
        <v>194</v>
      </c>
      <c r="M52" s="147"/>
      <c r="N52" s="150"/>
    </row>
    <row r="53" spans="2:14" s="145" customFormat="1" ht="13.8" x14ac:dyDescent="0.3">
      <c r="B53" s="151"/>
      <c r="C53" s="152" t="s">
        <v>194</v>
      </c>
      <c r="E53" s="55" t="s">
        <v>195</v>
      </c>
      <c r="F53" s="145" t="s">
        <v>266</v>
      </c>
      <c r="H53" s="55" t="s">
        <v>197</v>
      </c>
      <c r="I53" s="145" t="s">
        <v>198</v>
      </c>
      <c r="L53" s="145" t="s">
        <v>203</v>
      </c>
      <c r="N53" s="153"/>
    </row>
    <row r="54" spans="2:14" s="145" customFormat="1" ht="13.8" x14ac:dyDescent="0.3">
      <c r="B54" s="151"/>
      <c r="C54" s="145" t="s">
        <v>200</v>
      </c>
      <c r="F54" s="145" t="s">
        <v>201</v>
      </c>
      <c r="I54" s="145" t="s">
        <v>202</v>
      </c>
      <c r="L54" s="145" t="s">
        <v>207</v>
      </c>
      <c r="N54" s="153"/>
    </row>
    <row r="55" spans="2:14" s="145" customFormat="1" ht="13.8" x14ac:dyDescent="0.3">
      <c r="B55" s="151"/>
      <c r="C55" s="145" t="s">
        <v>204</v>
      </c>
      <c r="F55" s="145" t="s">
        <v>205</v>
      </c>
      <c r="I55" s="145" t="s">
        <v>206</v>
      </c>
      <c r="L55" s="145" t="s">
        <v>211</v>
      </c>
      <c r="N55" s="153"/>
    </row>
    <row r="56" spans="2:14" s="145" customFormat="1" ht="13.8" x14ac:dyDescent="0.3">
      <c r="B56" s="151"/>
      <c r="C56" s="145" t="s">
        <v>208</v>
      </c>
      <c r="F56" s="145" t="s">
        <v>209</v>
      </c>
      <c r="L56" s="145" t="s">
        <v>214</v>
      </c>
      <c r="N56" s="153"/>
    </row>
    <row r="57" spans="2:14" s="145" customFormat="1" ht="13.8" x14ac:dyDescent="0.3">
      <c r="B57" s="151"/>
      <c r="C57" s="145" t="s">
        <v>212</v>
      </c>
      <c r="F57" s="145" t="s">
        <v>216</v>
      </c>
      <c r="L57" s="145" t="s">
        <v>223</v>
      </c>
      <c r="N57" s="153"/>
    </row>
    <row r="58" spans="2:14" s="145" customFormat="1" ht="13.8" x14ac:dyDescent="0.3">
      <c r="B58" s="151"/>
      <c r="C58" s="145" t="s">
        <v>215</v>
      </c>
      <c r="F58" s="145" t="s">
        <v>222</v>
      </c>
      <c r="N58" s="153"/>
    </row>
    <row r="59" spans="2:14" s="145" customFormat="1" ht="13.8" x14ac:dyDescent="0.3">
      <c r="B59" s="151"/>
      <c r="C59" s="145" t="s">
        <v>221</v>
      </c>
      <c r="F59" s="145" t="s">
        <v>224</v>
      </c>
      <c r="N59" s="153"/>
    </row>
    <row r="60" spans="2:14" s="145" customFormat="1" ht="13.8" x14ac:dyDescent="0.3">
      <c r="B60" s="151"/>
      <c r="N60" s="153"/>
    </row>
    <row r="61" spans="2:14" s="145" customFormat="1" ht="13.8" x14ac:dyDescent="0.3">
      <c r="B61" s="151"/>
      <c r="N61" s="153"/>
    </row>
    <row r="62" spans="2:14" s="145" customFormat="1" ht="13.8" x14ac:dyDescent="0.3">
      <c r="B62" s="155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6"/>
    </row>
    <row r="63" spans="2:14" s="145" customFormat="1" ht="13.8" x14ac:dyDescent="0.3"/>
    <row r="64" spans="2:14" s="145" customFormat="1" ht="12" customHeight="1" x14ac:dyDescent="0.3">
      <c r="B64" s="157" t="s">
        <v>225</v>
      </c>
      <c r="C64" s="158"/>
      <c r="E64" s="159" t="s">
        <v>267</v>
      </c>
      <c r="F64" s="160"/>
      <c r="G64" s="161"/>
      <c r="I64" s="159" t="s">
        <v>268</v>
      </c>
      <c r="J64" s="159"/>
      <c r="K64" s="162"/>
    </row>
    <row r="65" spans="2:11" s="145" customFormat="1" ht="12" customHeight="1" x14ac:dyDescent="0.3">
      <c r="B65" s="163" t="s">
        <v>190</v>
      </c>
      <c r="C65" s="164"/>
      <c r="E65" s="163" t="s">
        <v>190</v>
      </c>
      <c r="G65" s="164"/>
      <c r="I65" s="163" t="s">
        <v>190</v>
      </c>
      <c r="K65" s="164"/>
    </row>
    <row r="66" spans="2:11" s="145" customFormat="1" ht="12" customHeight="1" x14ac:dyDescent="0.3">
      <c r="B66" s="151" t="s">
        <v>228</v>
      </c>
      <c r="C66" s="164"/>
      <c r="E66" s="151" t="s">
        <v>269</v>
      </c>
      <c r="F66" s="55"/>
      <c r="G66" s="164"/>
      <c r="I66" s="151" t="s">
        <v>270</v>
      </c>
      <c r="J66" s="55"/>
      <c r="K66" s="164"/>
    </row>
    <row r="67" spans="2:11" s="145" customFormat="1" ht="12" customHeight="1" x14ac:dyDescent="0.3">
      <c r="B67" s="151" t="s">
        <v>231</v>
      </c>
      <c r="C67" s="164"/>
      <c r="E67" s="165" t="s">
        <v>271</v>
      </c>
      <c r="F67" s="166"/>
      <c r="G67" s="167"/>
      <c r="I67" s="151" t="s">
        <v>272</v>
      </c>
      <c r="K67" s="164"/>
    </row>
    <row r="68" spans="2:11" s="145" customFormat="1" ht="12" customHeight="1" x14ac:dyDescent="0.3">
      <c r="B68" s="151" t="s">
        <v>234</v>
      </c>
      <c r="C68" s="168"/>
      <c r="E68" s="165"/>
      <c r="G68" s="168"/>
      <c r="I68" s="190" t="s">
        <v>273</v>
      </c>
      <c r="J68" s="154"/>
      <c r="K68" s="169"/>
    </row>
    <row r="69" spans="2:11" s="145" customFormat="1" ht="12" customHeight="1" x14ac:dyDescent="0.3">
      <c r="B69" s="151"/>
      <c r="C69" s="164"/>
      <c r="E69" s="163"/>
      <c r="G69" s="164"/>
    </row>
    <row r="70" spans="2:11" s="145" customFormat="1" ht="12" customHeight="1" x14ac:dyDescent="0.3">
      <c r="B70" s="163" t="s">
        <v>237</v>
      </c>
      <c r="C70" s="164"/>
      <c r="E70" s="155"/>
      <c r="F70" s="154"/>
      <c r="G70" s="170"/>
    </row>
    <row r="71" spans="2:11" s="145" customFormat="1" ht="12" customHeight="1" x14ac:dyDescent="0.3">
      <c r="B71" s="171" t="s">
        <v>239</v>
      </c>
      <c r="C71" s="170"/>
      <c r="F71" s="55"/>
      <c r="I71" s="151"/>
    </row>
    <row r="72" spans="2:11" s="145" customFormat="1" ht="13.8" x14ac:dyDescent="0.3"/>
  </sheetData>
  <mergeCells count="5">
    <mergeCell ref="B24:E24"/>
    <mergeCell ref="B25:E25"/>
    <mergeCell ref="B33:E33"/>
    <mergeCell ref="B42:E42"/>
    <mergeCell ref="B46:E4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954E-B7A0-4596-B9C6-870210987DA3}">
  <sheetPr>
    <tabColor theme="3" tint="-0.249977111117893"/>
  </sheetPr>
  <dimension ref="B3:O71"/>
  <sheetViews>
    <sheetView showGridLines="0" zoomScale="84" zoomScaleNormal="84" workbookViewId="0">
      <pane xSplit="5" ySplit="9" topLeftCell="F50" activePane="bottomRight" state="frozen"/>
      <selection activeCell="E72" sqref="E72"/>
      <selection pane="topRight" activeCell="E72" sqref="E72"/>
      <selection pane="bottomLeft" activeCell="E72" sqref="E72"/>
      <selection pane="bottomRight" activeCell="E72" sqref="E72"/>
    </sheetView>
  </sheetViews>
  <sheetFormatPr baseColWidth="10" defaultColWidth="11.44140625" defaultRowHeight="12" x14ac:dyDescent="0.25"/>
  <cols>
    <col min="1" max="1" width="1.6640625" style="52" customWidth="1"/>
    <col min="2" max="2" width="23.5546875" style="52" customWidth="1"/>
    <col min="3" max="3" width="24.33203125" style="52" customWidth="1"/>
    <col min="4" max="4" width="16.109375" style="52" customWidth="1"/>
    <col min="5" max="5" width="12.6640625" style="52" customWidth="1"/>
    <col min="6" max="10" width="12.88671875" style="52" customWidth="1"/>
    <col min="11" max="11" width="15.109375" style="52" customWidth="1"/>
    <col min="12" max="12" width="12.88671875" style="52" customWidth="1"/>
    <col min="13" max="13" width="12.109375" style="52" customWidth="1"/>
    <col min="14" max="14" width="13.44140625" style="52" customWidth="1"/>
    <col min="15" max="19" width="12.88671875" style="52" customWidth="1"/>
    <col min="20" max="16384" width="11.44140625" style="52"/>
  </cols>
  <sheetData>
    <row r="3" spans="2:15" ht="14.4" x14ac:dyDescent="0.3">
      <c r="B3" s="49" t="s">
        <v>110</v>
      </c>
      <c r="C3" s="50" t="s">
        <v>279</v>
      </c>
      <c r="D3" s="51"/>
      <c r="G3" s="53"/>
    </row>
    <row r="4" spans="2:15" ht="13.8" x14ac:dyDescent="0.3">
      <c r="B4" s="54" t="s">
        <v>7</v>
      </c>
      <c r="C4" s="52" t="s">
        <v>255</v>
      </c>
      <c r="D4" s="55"/>
    </row>
    <row r="5" spans="2:15" x14ac:dyDescent="0.25">
      <c r="B5" s="54" t="s">
        <v>113</v>
      </c>
      <c r="C5" s="52" t="s">
        <v>114</v>
      </c>
      <c r="F5" s="56" t="s">
        <v>115</v>
      </c>
      <c r="G5" s="56" t="s">
        <v>116</v>
      </c>
      <c r="H5" s="56" t="s">
        <v>117</v>
      </c>
      <c r="I5" s="56" t="s">
        <v>118</v>
      </c>
      <c r="J5" s="56" t="s">
        <v>119</v>
      </c>
      <c r="K5" s="56" t="s">
        <v>120</v>
      </c>
      <c r="L5" s="56" t="s">
        <v>121</v>
      </c>
      <c r="M5" s="56" t="s">
        <v>122</v>
      </c>
      <c r="N5" s="56" t="s">
        <v>123</v>
      </c>
    </row>
    <row r="6" spans="2:15" x14ac:dyDescent="0.25">
      <c r="B6" s="57"/>
      <c r="F6" s="174">
        <f t="shared" ref="F6:N6" si="0">+F24+F32+F41+F45</f>
        <v>0</v>
      </c>
      <c r="G6" s="174">
        <f t="shared" si="0"/>
        <v>723.81790000000001</v>
      </c>
      <c r="H6" s="174">
        <f t="shared" si="0"/>
        <v>1155.6862400000002</v>
      </c>
      <c r="I6" s="174">
        <f t="shared" si="0"/>
        <v>723.81790000000001</v>
      </c>
      <c r="J6" s="174">
        <f t="shared" si="0"/>
        <v>1786.2982400000001</v>
      </c>
      <c r="K6" s="174">
        <f t="shared" si="0"/>
        <v>723.81790000000001</v>
      </c>
      <c r="L6" s="174">
        <f t="shared" si="0"/>
        <v>1724.1122400000004</v>
      </c>
      <c r="M6" s="174">
        <f t="shared" si="0"/>
        <v>723.81790000000001</v>
      </c>
      <c r="N6" s="174">
        <f t="shared" si="0"/>
        <v>1786.2982400000001</v>
      </c>
    </row>
    <row r="7" spans="2:15" x14ac:dyDescent="0.25">
      <c r="B7" s="59" t="s">
        <v>124</v>
      </c>
      <c r="F7" s="60">
        <f>F23*[1]Precios!$I$6+F28*IFERROR(VLOOKUP($B$28,REP_COST,9,0),0)+F37*IFERROR(VLOOKUP($B$37,REP_COST,9,0),0)+F38*IFERROR(VLOOKUP($B$38,REP_COST,9,0),0)+F39*IFERROR(VLOOKUP($B$39,REP_COST,9,0),0)+IF(F45&gt;0,[1]Precios!$I$9,0)</f>
        <v>44.25</v>
      </c>
      <c r="G7" s="60">
        <f>G23*[1]Precios!$I$6+G28*IFERROR(VLOOKUP($B$28,REP_COST,9,0),0)+G37*IFERROR(VLOOKUP($B$37,REP_COST,9,0),0)+G38*IFERROR(VLOOKUP($B$38,REP_COST,9,0),0)+G39*IFERROR(VLOOKUP($B$39,REP_COST,9,0),0)+IF(G45&gt;0,[1]Precios!$I$9,0)</f>
        <v>209.45</v>
      </c>
      <c r="H7" s="60">
        <f>H23*[1]Precios!$I$6+H28*IFERROR(VLOOKUP($B$28,REP_COST,9,0),0)+H37*IFERROR(VLOOKUP($B$37,REP_COST,9,0),0)+H38*IFERROR(VLOOKUP($B$38,REP_COST,9,0),0)+H39*IFERROR(VLOOKUP($B$39,REP_COST,9,0),0)+IF(H45&gt;0,[1]Precios!$I$9,0)</f>
        <v>330.37304</v>
      </c>
      <c r="I7" s="60">
        <f>I23*[1]Precios!$I$6+I28*IFERROR(VLOOKUP($B$28,REP_COST,9,0),0)+I37*IFERROR(VLOOKUP($B$37,REP_COST,9,0),0)+I38*IFERROR(VLOOKUP($B$38,REP_COST,9,0),0)+I39*IFERROR(VLOOKUP($B$39,REP_COST,9,0),0)+IF(I45&gt;0,[1]Precios!$I$9,0)</f>
        <v>209.45</v>
      </c>
      <c r="J7" s="60">
        <f>J23*[1]Precios!$I$6+J28*IFERROR(VLOOKUP($B$28,REP_COST,9,0),0)+J37*IFERROR(VLOOKUP($B$37,REP_COST,9,0),0)+J38*IFERROR(VLOOKUP($B$38,REP_COST,9,0),0)+J39*IFERROR(VLOOKUP($B$39,REP_COST,9,0),0)+IF(J45&gt;0,[1]Precios!$I$9,0)</f>
        <v>620.52560000000005</v>
      </c>
      <c r="K7" s="60">
        <f>K23*[1]Precios!$I$6+K28*IFERROR(VLOOKUP($B$28,REP_COST,9,0),0)+K37*IFERROR(VLOOKUP($B$37,REP_COST,9,0),0)+K38*IFERROR(VLOOKUP($B$38,REP_COST,9,0),0)+K39*IFERROR(VLOOKUP($B$39,REP_COST,9,0),0)+IF(K45&gt;0,[1]Precios!$I$9,0)</f>
        <v>209.45</v>
      </c>
      <c r="L7" s="60">
        <f>L23*[1]Precios!$I$6+L28*IFERROR(VLOOKUP($B$28,REP_COST,9,0),0)+L37*IFERROR(VLOOKUP($B$37,REP_COST,9,0),0)+L38*IFERROR(VLOOKUP($B$38,REP_COST,9,0),0)+L39*IFERROR(VLOOKUP($B$39,REP_COST,9,0),0)+IF(L45&gt;0,[1]Precios!$I$9,0)</f>
        <v>602.82560000000012</v>
      </c>
      <c r="M7" s="60">
        <f>M23*[1]Precios!$I$6+M28*IFERROR(VLOOKUP($B$28,REP_COST,9,0),0)+M37*IFERROR(VLOOKUP($B$37,REP_COST,9,0),0)+M38*IFERROR(VLOOKUP($B$38,REP_COST,9,0),0)+M39*IFERROR(VLOOKUP($B$39,REP_COST,9,0),0)+IF(M45&gt;0,[1]Precios!$I$9,0)</f>
        <v>209.45</v>
      </c>
      <c r="N7" s="60">
        <f>N23*[1]Precios!$I$6+N28*IFERROR(VLOOKUP($B$28,REP_COST,9,0),0)+N37*IFERROR(VLOOKUP($B$37,REP_COST,9,0),0)+N38*IFERROR(VLOOKUP($B$38,REP_COST,9,0),0)+N39*IFERROR(VLOOKUP($B$39,REP_COST,9,0),0)+IF(N45&gt;0,[1]Precios!$I$9,0)</f>
        <v>620.52560000000005</v>
      </c>
    </row>
    <row r="8" spans="2:15" ht="13.5" customHeight="1" x14ac:dyDescent="0.3">
      <c r="B8" s="61"/>
      <c r="E8" s="62" t="s">
        <v>125</v>
      </c>
      <c r="F8" s="63"/>
      <c r="G8" s="64">
        <v>12</v>
      </c>
      <c r="H8" s="64">
        <v>24</v>
      </c>
      <c r="I8" s="64">
        <v>36</v>
      </c>
      <c r="J8" s="64">
        <v>48</v>
      </c>
      <c r="K8" s="64">
        <v>60</v>
      </c>
      <c r="L8" s="64">
        <v>72</v>
      </c>
      <c r="M8" s="64">
        <v>84</v>
      </c>
      <c r="N8" s="65">
        <v>96</v>
      </c>
    </row>
    <row r="9" spans="2:15" ht="13.5" customHeight="1" x14ac:dyDescent="0.3">
      <c r="B9" s="66" t="s">
        <v>126</v>
      </c>
      <c r="E9" s="62" t="s">
        <v>127</v>
      </c>
      <c r="F9" s="67" t="s">
        <v>128</v>
      </c>
      <c r="G9" s="68" t="s">
        <v>129</v>
      </c>
      <c r="H9" s="68" t="s">
        <v>130</v>
      </c>
      <c r="I9" s="68" t="s">
        <v>131</v>
      </c>
      <c r="J9" s="68" t="s">
        <v>132</v>
      </c>
      <c r="K9" s="68" t="s">
        <v>133</v>
      </c>
      <c r="L9" s="68" t="s">
        <v>134</v>
      </c>
      <c r="M9" s="68" t="s">
        <v>135</v>
      </c>
      <c r="N9" s="69" t="s">
        <v>136</v>
      </c>
      <c r="O9" s="70" t="s">
        <v>137</v>
      </c>
    </row>
    <row r="10" spans="2:15" x14ac:dyDescent="0.25">
      <c r="B10" s="71" t="s">
        <v>138</v>
      </c>
      <c r="C10" s="72" t="s">
        <v>139</v>
      </c>
      <c r="D10" s="72"/>
      <c r="E10" s="72"/>
      <c r="F10" s="73" t="s">
        <v>140</v>
      </c>
      <c r="G10" s="74"/>
      <c r="H10" s="74"/>
      <c r="I10" s="74"/>
      <c r="J10" s="74"/>
      <c r="K10" s="74"/>
      <c r="L10" s="74"/>
      <c r="M10" s="74"/>
      <c r="N10" s="75"/>
    </row>
    <row r="11" spans="2:15" ht="12" customHeight="1" x14ac:dyDescent="0.25">
      <c r="B11" s="191">
        <v>1</v>
      </c>
      <c r="C11" s="103" t="s">
        <v>146</v>
      </c>
      <c r="D11" s="103"/>
      <c r="E11" s="192"/>
      <c r="F11" s="193"/>
      <c r="G11" s="130"/>
      <c r="H11" s="130">
        <v>0.8</v>
      </c>
      <c r="I11" s="130"/>
      <c r="J11" s="130">
        <v>0.8</v>
      </c>
      <c r="K11" s="130"/>
      <c r="L11" s="130">
        <v>0.8</v>
      </c>
      <c r="M11" s="130"/>
      <c r="N11" s="130">
        <v>0.8</v>
      </c>
    </row>
    <row r="12" spans="2:15" ht="12" customHeight="1" x14ac:dyDescent="0.25">
      <c r="B12" s="191">
        <v>2</v>
      </c>
      <c r="C12" s="103" t="s">
        <v>280</v>
      </c>
      <c r="D12" s="103"/>
      <c r="E12" s="192"/>
      <c r="F12" s="193"/>
      <c r="G12" s="130"/>
      <c r="H12" s="194">
        <v>0.2</v>
      </c>
      <c r="I12" s="194"/>
      <c r="J12" s="194">
        <v>0.2</v>
      </c>
      <c r="K12" s="194"/>
      <c r="L12" s="194">
        <v>0.2</v>
      </c>
      <c r="M12" s="194"/>
      <c r="N12" s="195">
        <v>0.2</v>
      </c>
    </row>
    <row r="13" spans="2:15" ht="12" customHeight="1" x14ac:dyDescent="0.25">
      <c r="B13" s="191">
        <v>3</v>
      </c>
      <c r="C13" s="103" t="s">
        <v>281</v>
      </c>
      <c r="D13" s="103"/>
      <c r="E13" s="192"/>
      <c r="F13" s="193"/>
      <c r="G13" s="194">
        <v>0.2</v>
      </c>
      <c r="H13" s="194">
        <v>0.2</v>
      </c>
      <c r="I13" s="194">
        <v>0.2</v>
      </c>
      <c r="J13" s="194">
        <v>0.2</v>
      </c>
      <c r="K13" s="194">
        <v>0.2</v>
      </c>
      <c r="L13" s="194">
        <v>0.2</v>
      </c>
      <c r="M13" s="194">
        <v>0.2</v>
      </c>
      <c r="N13" s="194">
        <v>0.2</v>
      </c>
    </row>
    <row r="14" spans="2:15" ht="12" customHeight="1" x14ac:dyDescent="0.25">
      <c r="B14" s="191">
        <v>4</v>
      </c>
      <c r="C14" s="103" t="s">
        <v>282</v>
      </c>
      <c r="D14" s="103"/>
      <c r="E14" s="192"/>
      <c r="F14" s="193"/>
      <c r="G14" s="194"/>
      <c r="H14" s="194"/>
      <c r="I14" s="194"/>
      <c r="J14" s="194">
        <v>0.2</v>
      </c>
      <c r="K14" s="194"/>
      <c r="L14" s="194"/>
      <c r="M14" s="194"/>
      <c r="N14" s="194">
        <v>0.2</v>
      </c>
    </row>
    <row r="15" spans="2:15" s="199" customFormat="1" ht="12" customHeight="1" x14ac:dyDescent="0.25">
      <c r="B15" s="191">
        <v>5</v>
      </c>
      <c r="C15" s="196" t="s">
        <v>260</v>
      </c>
      <c r="D15" s="196"/>
      <c r="E15" s="197"/>
      <c r="F15" s="198"/>
      <c r="G15" s="194">
        <v>0.2</v>
      </c>
      <c r="H15" s="194">
        <v>0.2</v>
      </c>
      <c r="I15" s="194">
        <v>0.2</v>
      </c>
      <c r="J15" s="194">
        <v>0.2</v>
      </c>
      <c r="K15" s="194">
        <v>0.2</v>
      </c>
      <c r="L15" s="194">
        <v>0.2</v>
      </c>
      <c r="M15" s="194">
        <v>0.2</v>
      </c>
      <c r="N15" s="194">
        <v>0.2</v>
      </c>
    </row>
    <row r="16" spans="2:15" ht="12" customHeight="1" x14ac:dyDescent="0.25">
      <c r="B16" s="191">
        <v>6</v>
      </c>
      <c r="C16" s="103" t="s">
        <v>261</v>
      </c>
      <c r="D16" s="103"/>
      <c r="E16" s="192"/>
      <c r="F16" s="193"/>
      <c r="G16" s="194">
        <v>0.2</v>
      </c>
      <c r="H16" s="194">
        <v>0.2</v>
      </c>
      <c r="I16" s="194">
        <v>0.2</v>
      </c>
      <c r="J16" s="194">
        <v>0.2</v>
      </c>
      <c r="K16" s="194">
        <v>0.2</v>
      </c>
      <c r="L16" s="194">
        <v>0.2</v>
      </c>
      <c r="M16" s="194">
        <v>0.2</v>
      </c>
      <c r="N16" s="194">
        <v>0.2</v>
      </c>
    </row>
    <row r="17" spans="2:14" ht="12" customHeight="1" x14ac:dyDescent="0.25">
      <c r="B17" s="191">
        <v>8</v>
      </c>
      <c r="C17" s="103" t="s">
        <v>150</v>
      </c>
      <c r="D17" s="103"/>
      <c r="E17" s="192"/>
      <c r="F17" s="193">
        <v>0.5</v>
      </c>
      <c r="G17" s="130">
        <v>0.5</v>
      </c>
      <c r="H17" s="130">
        <v>0.5</v>
      </c>
      <c r="I17" s="130">
        <v>0.5</v>
      </c>
      <c r="J17" s="130">
        <v>0.5</v>
      </c>
      <c r="K17" s="130">
        <v>0.5</v>
      </c>
      <c r="L17" s="130">
        <v>0.5</v>
      </c>
      <c r="M17" s="130">
        <v>0.5</v>
      </c>
      <c r="N17" s="132">
        <v>0.5</v>
      </c>
    </row>
    <row r="18" spans="2:14" ht="12" customHeight="1" x14ac:dyDescent="0.25">
      <c r="B18" s="191">
        <v>9</v>
      </c>
      <c r="C18" s="103" t="s">
        <v>151</v>
      </c>
      <c r="D18" s="103"/>
      <c r="E18" s="192"/>
      <c r="F18" s="193"/>
      <c r="G18" s="130">
        <v>0.2</v>
      </c>
      <c r="H18" s="130">
        <v>0.2</v>
      </c>
      <c r="I18" s="130">
        <v>0.2</v>
      </c>
      <c r="J18" s="130">
        <v>0.2</v>
      </c>
      <c r="K18" s="130">
        <v>0.2</v>
      </c>
      <c r="L18" s="130">
        <v>0.2</v>
      </c>
      <c r="M18" s="130">
        <v>0.2</v>
      </c>
      <c r="N18" s="132">
        <v>0.2</v>
      </c>
    </row>
    <row r="19" spans="2:14" s="82" customFormat="1" ht="12" customHeight="1" x14ac:dyDescent="0.25">
      <c r="B19" s="83">
        <v>10</v>
      </c>
      <c r="C19" s="84" t="s">
        <v>262</v>
      </c>
      <c r="D19" s="84"/>
      <c r="E19" s="85"/>
      <c r="F19" s="79"/>
      <c r="G19" s="80"/>
      <c r="H19" s="80">
        <v>0.2</v>
      </c>
      <c r="I19" s="80"/>
      <c r="J19" s="80">
        <v>0.2</v>
      </c>
      <c r="K19" s="80"/>
      <c r="L19" s="80">
        <v>0.2</v>
      </c>
      <c r="M19" s="80"/>
      <c r="N19" s="81">
        <v>0.2</v>
      </c>
    </row>
    <row r="20" spans="2:14" s="82" customFormat="1" ht="12" customHeight="1" x14ac:dyDescent="0.25">
      <c r="B20" s="83">
        <v>11</v>
      </c>
      <c r="C20" s="84" t="s">
        <v>263</v>
      </c>
      <c r="D20" s="84"/>
      <c r="E20" s="85"/>
      <c r="F20" s="79"/>
      <c r="G20" s="177">
        <v>0.2</v>
      </c>
      <c r="H20" s="177">
        <v>0.2</v>
      </c>
      <c r="I20" s="177">
        <v>0.2</v>
      </c>
      <c r="J20" s="177">
        <v>0.2</v>
      </c>
      <c r="K20" s="177">
        <v>0.2</v>
      </c>
      <c r="L20" s="177">
        <v>0.2</v>
      </c>
      <c r="M20" s="177">
        <v>0.2</v>
      </c>
      <c r="N20" s="177">
        <v>0.2</v>
      </c>
    </row>
    <row r="21" spans="2:14" s="82" customFormat="1" ht="12" customHeight="1" x14ac:dyDescent="0.25">
      <c r="B21" s="83">
        <v>12</v>
      </c>
      <c r="C21" s="84" t="s">
        <v>155</v>
      </c>
      <c r="D21" s="84"/>
      <c r="E21" s="85"/>
      <c r="F21" s="79"/>
      <c r="G21" s="80">
        <v>0.2</v>
      </c>
      <c r="H21" s="80">
        <v>0.2</v>
      </c>
      <c r="I21" s="80">
        <v>0.2</v>
      </c>
      <c r="J21" s="80">
        <v>0.2</v>
      </c>
      <c r="K21" s="80">
        <v>0.2</v>
      </c>
      <c r="L21" s="80">
        <v>0.2</v>
      </c>
      <c r="M21" s="80">
        <v>0.2</v>
      </c>
      <c r="N21" s="81">
        <v>0.2</v>
      </c>
    </row>
    <row r="22" spans="2:14" s="82" customFormat="1" ht="12" customHeight="1" x14ac:dyDescent="0.25">
      <c r="B22" s="83"/>
      <c r="C22" s="84"/>
      <c r="D22" s="84"/>
      <c r="E22" s="85"/>
      <c r="F22" s="79"/>
      <c r="G22" s="80"/>
      <c r="H22" s="80"/>
      <c r="I22" s="80"/>
      <c r="J22" s="80"/>
      <c r="K22" s="80"/>
      <c r="L22" s="80"/>
      <c r="M22" s="80"/>
      <c r="N22" s="81"/>
    </row>
    <row r="23" spans="2:14" ht="12" customHeight="1" x14ac:dyDescent="0.25">
      <c r="B23" s="202" t="s">
        <v>156</v>
      </c>
      <c r="C23" s="203"/>
      <c r="D23" s="203"/>
      <c r="E23" s="203"/>
      <c r="F23" s="86">
        <f>SUM(F11:F22)</f>
        <v>0.5</v>
      </c>
      <c r="G23" s="87">
        <f t="shared" ref="G23:N23" si="1">SUM(G11:G22)</f>
        <v>1.7</v>
      </c>
      <c r="H23" s="87">
        <f t="shared" si="1"/>
        <v>2.9000000000000004</v>
      </c>
      <c r="I23" s="87">
        <f t="shared" si="1"/>
        <v>1.7</v>
      </c>
      <c r="J23" s="87">
        <f t="shared" si="1"/>
        <v>3.1000000000000005</v>
      </c>
      <c r="K23" s="87">
        <f t="shared" si="1"/>
        <v>1.7</v>
      </c>
      <c r="L23" s="87">
        <f t="shared" si="1"/>
        <v>2.9000000000000004</v>
      </c>
      <c r="M23" s="87">
        <f t="shared" si="1"/>
        <v>1.7</v>
      </c>
      <c r="N23" s="88">
        <f t="shared" si="1"/>
        <v>3.1000000000000005</v>
      </c>
    </row>
    <row r="24" spans="2:14" ht="12" customHeight="1" x14ac:dyDescent="0.25">
      <c r="B24" s="202" t="s">
        <v>157</v>
      </c>
      <c r="C24" s="203"/>
      <c r="D24" s="203"/>
      <c r="E24" s="203"/>
      <c r="F24" s="89">
        <v>0</v>
      </c>
      <c r="G24" s="90">
        <f>+G23*HH</f>
        <v>528.58100000000002</v>
      </c>
      <c r="H24" s="92">
        <f t="shared" ref="H24:N24" si="2">+H23*HH</f>
        <v>901.69700000000012</v>
      </c>
      <c r="I24" s="92">
        <f t="shared" si="2"/>
        <v>528.58100000000002</v>
      </c>
      <c r="J24" s="92">
        <f t="shared" si="2"/>
        <v>963.88300000000015</v>
      </c>
      <c r="K24" s="92">
        <f t="shared" si="2"/>
        <v>528.58100000000002</v>
      </c>
      <c r="L24" s="92">
        <f t="shared" si="2"/>
        <v>901.69700000000012</v>
      </c>
      <c r="M24" s="92">
        <f t="shared" si="2"/>
        <v>528.58100000000002</v>
      </c>
      <c r="N24" s="93">
        <f t="shared" si="2"/>
        <v>963.88300000000015</v>
      </c>
    </row>
    <row r="25" spans="2:14" x14ac:dyDescent="0.25">
      <c r="B25" s="94"/>
      <c r="E25" s="95"/>
      <c r="N25" s="96"/>
    </row>
    <row r="26" spans="2:14" ht="13.5" customHeight="1" x14ac:dyDescent="0.3">
      <c r="B26" s="97" t="s">
        <v>158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9"/>
    </row>
    <row r="27" spans="2:14" x14ac:dyDescent="0.25">
      <c r="B27" s="100" t="s">
        <v>159</v>
      </c>
      <c r="C27" s="101" t="s">
        <v>160</v>
      </c>
      <c r="D27" s="101"/>
      <c r="E27" s="101"/>
      <c r="F27" s="74" t="s">
        <v>161</v>
      </c>
      <c r="G27" s="74"/>
      <c r="H27" s="74"/>
      <c r="I27" s="74"/>
      <c r="J27" s="74"/>
      <c r="K27" s="74"/>
      <c r="L27" s="74"/>
      <c r="M27" s="74"/>
      <c r="N27" s="75"/>
    </row>
    <row r="28" spans="2:14" ht="12" customHeight="1" x14ac:dyDescent="0.25">
      <c r="B28" s="200" t="s">
        <v>276</v>
      </c>
      <c r="C28" s="84" t="s">
        <v>265</v>
      </c>
      <c r="D28" s="84"/>
      <c r="E28" s="185"/>
      <c r="F28" s="105"/>
      <c r="G28" s="105">
        <v>1</v>
      </c>
      <c r="H28" s="105">
        <v>1</v>
      </c>
      <c r="I28" s="105">
        <v>1</v>
      </c>
      <c r="J28" s="105">
        <v>1</v>
      </c>
      <c r="K28" s="105">
        <v>1</v>
      </c>
      <c r="L28" s="105">
        <v>1</v>
      </c>
      <c r="M28" s="105">
        <v>1</v>
      </c>
      <c r="N28" s="106">
        <v>1</v>
      </c>
    </row>
    <row r="29" spans="2:14" ht="12" customHeight="1" x14ac:dyDescent="0.25">
      <c r="B29" s="186" t="s">
        <v>173</v>
      </c>
      <c r="C29" s="187"/>
      <c r="D29" s="187"/>
      <c r="E29" s="188"/>
      <c r="F29" s="110"/>
      <c r="G29" s="110"/>
      <c r="H29" s="110"/>
      <c r="I29" s="110"/>
      <c r="J29" s="110"/>
      <c r="K29" s="110"/>
      <c r="L29" s="110"/>
      <c r="M29" s="110"/>
      <c r="N29" s="111"/>
    </row>
    <row r="30" spans="2:14" ht="12" customHeight="1" x14ac:dyDescent="0.25">
      <c r="B30" s="114" t="s">
        <v>173</v>
      </c>
      <c r="C30" s="115"/>
      <c r="D30" s="115"/>
      <c r="E30" s="116"/>
      <c r="F30" s="117"/>
      <c r="G30" s="117"/>
      <c r="H30" s="117"/>
      <c r="I30" s="118"/>
      <c r="J30" s="118"/>
      <c r="K30" s="118"/>
      <c r="L30" s="118"/>
      <c r="M30" s="118"/>
      <c r="N30" s="119"/>
    </row>
    <row r="31" spans="2:14" ht="12" customHeight="1" x14ac:dyDescent="0.25">
      <c r="B31" s="120" t="s">
        <v>173</v>
      </c>
      <c r="C31" s="115"/>
      <c r="D31" s="115"/>
      <c r="E31" s="116"/>
      <c r="F31" s="117"/>
      <c r="G31" s="117"/>
      <c r="H31" s="117"/>
      <c r="I31" s="117"/>
      <c r="J31" s="117"/>
      <c r="K31" s="117"/>
      <c r="L31" s="117"/>
      <c r="M31" s="117"/>
      <c r="N31" s="119"/>
    </row>
    <row r="32" spans="2:14" ht="12" customHeight="1" x14ac:dyDescent="0.25">
      <c r="B32" s="202" t="s">
        <v>174</v>
      </c>
      <c r="C32" s="203"/>
      <c r="D32" s="203"/>
      <c r="E32" s="203"/>
      <c r="F32" s="89">
        <f>F28*VLOOKUP($B$28,REP_LUB,5,0)+F29*VLOOKUP($B$29,REP_LUB,5,0)+F30*VLOOKUP($B$30,REP_LUB,5,0)+F31*VLOOKUP($B$31,REP_LUB,5,0)</f>
        <v>0</v>
      </c>
      <c r="G32" s="89">
        <f>G28*VLOOKUP($B$28,REP_LUB,5,0)+G29*VLOOKUP($B$29,REP_LUB,5,0)+G30*VLOOKUP($B$30,REP_LUB,5,0)+G31*VLOOKUP($B$31,REP_LUB,5,0)</f>
        <v>100.83689999999999</v>
      </c>
      <c r="H32" s="89">
        <f t="shared" ref="H32:N32" si="3">H28*VLOOKUP($B$28,REP_LUB,5,0)+H29*VLOOKUP($B$29,REP_LUB,5,0)+H30*VLOOKUP($B$30,REP_LUB,5,0)+H31*VLOOKUP($B$31,REP_LUB,5,0)</f>
        <v>100.83689999999999</v>
      </c>
      <c r="I32" s="89">
        <f t="shared" si="3"/>
        <v>100.83689999999999</v>
      </c>
      <c r="J32" s="89">
        <f t="shared" si="3"/>
        <v>100.83689999999999</v>
      </c>
      <c r="K32" s="89">
        <f t="shared" si="3"/>
        <v>100.83689999999999</v>
      </c>
      <c r="L32" s="89">
        <f t="shared" si="3"/>
        <v>100.83689999999999</v>
      </c>
      <c r="M32" s="89">
        <f t="shared" si="3"/>
        <v>100.83689999999999</v>
      </c>
      <c r="N32" s="89">
        <f t="shared" si="3"/>
        <v>100.83689999999999</v>
      </c>
    </row>
    <row r="33" spans="2:14" ht="7.5" customHeight="1" x14ac:dyDescent="0.25">
      <c r="B33" s="121"/>
      <c r="E33" s="122"/>
      <c r="F33" s="122"/>
      <c r="G33" s="122"/>
      <c r="H33" s="122"/>
      <c r="I33" s="122"/>
      <c r="J33" s="122"/>
      <c r="K33" s="122"/>
      <c r="L33" s="122"/>
      <c r="M33" s="122"/>
      <c r="N33" s="123"/>
    </row>
    <row r="34" spans="2:14" ht="7.5" customHeight="1" x14ac:dyDescent="0.25">
      <c r="B34" s="121"/>
      <c r="E34" s="122"/>
      <c r="F34" s="122"/>
      <c r="G34" s="122"/>
      <c r="H34" s="122"/>
      <c r="I34" s="122"/>
      <c r="J34" s="122"/>
      <c r="K34" s="122"/>
      <c r="L34" s="122"/>
      <c r="M34" s="122"/>
      <c r="N34" s="123"/>
    </row>
    <row r="35" spans="2:14" ht="13.5" customHeight="1" x14ac:dyDescent="0.3">
      <c r="B35" s="124" t="s">
        <v>175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3"/>
    </row>
    <row r="36" spans="2:14" ht="12" customHeight="1" x14ac:dyDescent="0.25">
      <c r="B36" s="125" t="s">
        <v>159</v>
      </c>
      <c r="C36" s="126" t="s">
        <v>160</v>
      </c>
      <c r="D36" s="126"/>
      <c r="E36" s="126"/>
      <c r="F36" s="127" t="s">
        <v>161</v>
      </c>
      <c r="G36" s="127"/>
      <c r="H36" s="127"/>
      <c r="I36" s="127"/>
      <c r="J36" s="127"/>
      <c r="K36" s="127"/>
      <c r="L36" s="127"/>
      <c r="M36" s="127"/>
      <c r="N36" s="128"/>
    </row>
    <row r="37" spans="2:14" s="82" customFormat="1" ht="11.4" customHeight="1" x14ac:dyDescent="0.25">
      <c r="B37" s="189" t="s">
        <v>177</v>
      </c>
      <c r="C37" s="201" t="s">
        <v>178</v>
      </c>
      <c r="D37" s="84"/>
      <c r="E37" s="185"/>
      <c r="F37" s="80"/>
      <c r="G37" s="80"/>
      <c r="H37" s="80">
        <v>0.7</v>
      </c>
      <c r="I37" s="80"/>
      <c r="J37" s="80">
        <v>0.7</v>
      </c>
      <c r="K37" s="134"/>
      <c r="L37" s="134">
        <v>0.7</v>
      </c>
      <c r="M37" s="134"/>
      <c r="N37" s="81">
        <v>0.7</v>
      </c>
    </row>
    <row r="38" spans="2:14" s="82" customFormat="1" ht="12.75" customHeight="1" x14ac:dyDescent="0.25">
      <c r="B38" s="189" t="s">
        <v>179</v>
      </c>
      <c r="C38" s="84" t="s">
        <v>180</v>
      </c>
      <c r="D38" s="84"/>
      <c r="E38" s="185"/>
      <c r="F38" s="80"/>
      <c r="G38" s="80"/>
      <c r="H38" s="80">
        <v>0.3</v>
      </c>
      <c r="I38" s="80"/>
      <c r="J38" s="80">
        <v>14.5</v>
      </c>
      <c r="K38" s="134"/>
      <c r="L38" s="134">
        <v>14.5</v>
      </c>
      <c r="M38" s="134"/>
      <c r="N38" s="81">
        <v>14.5</v>
      </c>
    </row>
    <row r="39" spans="2:14" s="82" customFormat="1" ht="12.75" customHeight="1" x14ac:dyDescent="0.25">
      <c r="B39" s="189" t="s">
        <v>283</v>
      </c>
      <c r="C39" s="84" t="s">
        <v>278</v>
      </c>
      <c r="D39" s="84"/>
      <c r="E39" s="185"/>
      <c r="F39" s="80"/>
      <c r="G39" s="80"/>
      <c r="H39" s="80"/>
      <c r="I39" s="80">
        <v>1</v>
      </c>
      <c r="J39" s="80"/>
      <c r="K39" s="134"/>
      <c r="L39" s="134">
        <v>1</v>
      </c>
      <c r="M39" s="134"/>
      <c r="N39" s="81"/>
    </row>
    <row r="40" spans="2:14" ht="12.75" customHeight="1" x14ac:dyDescent="0.25">
      <c r="B40" s="133" t="s">
        <v>173</v>
      </c>
      <c r="C40" s="103"/>
      <c r="D40" s="103"/>
      <c r="E40" s="104"/>
      <c r="F40" s="130"/>
      <c r="G40" s="130"/>
      <c r="H40" s="80"/>
      <c r="I40" s="80"/>
      <c r="J40" s="80"/>
      <c r="K40" s="134"/>
      <c r="L40" s="134"/>
      <c r="M40" s="134"/>
      <c r="N40" s="81"/>
    </row>
    <row r="41" spans="2:14" ht="12" customHeight="1" x14ac:dyDescent="0.25">
      <c r="B41" s="202" t="s">
        <v>182</v>
      </c>
      <c r="C41" s="203"/>
      <c r="D41" s="203"/>
      <c r="E41" s="203"/>
      <c r="F41" s="89">
        <f t="shared" ref="F41:N41" si="4">F37*VLOOKUP($B$37,REP_LUB,5,0)+F38*VLOOKUP($B$38,REP_LUB,5,0)+F39*VLOOKUP($B$40,REP_LUB,5,0)</f>
        <v>0</v>
      </c>
      <c r="G41" s="89">
        <f t="shared" si="4"/>
        <v>0</v>
      </c>
      <c r="H41" s="89">
        <f t="shared" si="4"/>
        <v>58.752339999999997</v>
      </c>
      <c r="I41" s="89">
        <f t="shared" si="4"/>
        <v>0</v>
      </c>
      <c r="J41" s="89">
        <f t="shared" si="4"/>
        <v>627.17834000000005</v>
      </c>
      <c r="K41" s="89">
        <f t="shared" si="4"/>
        <v>0</v>
      </c>
      <c r="L41" s="89">
        <f t="shared" si="4"/>
        <v>627.17834000000005</v>
      </c>
      <c r="M41" s="89">
        <f t="shared" si="4"/>
        <v>0</v>
      </c>
      <c r="N41" s="89">
        <f t="shared" si="4"/>
        <v>627.17834000000005</v>
      </c>
    </row>
    <row r="42" spans="2:14" x14ac:dyDescent="0.25">
      <c r="N42" s="96"/>
    </row>
    <row r="43" spans="2:14" ht="13.5" customHeight="1" x14ac:dyDescent="0.3">
      <c r="B43" s="97" t="s">
        <v>183</v>
      </c>
      <c r="C43" s="98"/>
      <c r="D43" s="98"/>
      <c r="E43" s="135"/>
      <c r="F43" s="135"/>
      <c r="G43" s="135"/>
      <c r="H43" s="135"/>
      <c r="I43" s="135"/>
      <c r="J43" s="135"/>
      <c r="K43" s="135"/>
      <c r="L43" s="135"/>
      <c r="M43" s="135"/>
      <c r="N43" s="136"/>
    </row>
    <row r="44" spans="2:14" ht="12" customHeight="1" x14ac:dyDescent="0.25">
      <c r="B44" s="137"/>
      <c r="C44" s="72" t="s">
        <v>160</v>
      </c>
      <c r="D44" s="72"/>
      <c r="E44" s="72"/>
      <c r="F44" s="138"/>
      <c r="G44" s="138"/>
      <c r="H44" s="138"/>
      <c r="I44" s="138"/>
      <c r="J44" s="138"/>
      <c r="K44" s="138"/>
      <c r="L44" s="138"/>
      <c r="M44" s="138"/>
      <c r="N44" s="139"/>
    </row>
    <row r="45" spans="2:14" ht="12.75" customHeight="1" x14ac:dyDescent="0.25">
      <c r="B45" s="202" t="s">
        <v>184</v>
      </c>
      <c r="C45" s="203"/>
      <c r="D45" s="203"/>
      <c r="E45" s="203"/>
      <c r="F45" s="89">
        <v>0</v>
      </c>
      <c r="G45" s="89">
        <f t="shared" ref="G45:N45" si="5">MATERIALES</f>
        <v>94.399999999999991</v>
      </c>
      <c r="H45" s="89">
        <f t="shared" si="5"/>
        <v>94.399999999999991</v>
      </c>
      <c r="I45" s="89">
        <f t="shared" si="5"/>
        <v>94.399999999999991</v>
      </c>
      <c r="J45" s="89">
        <f t="shared" si="5"/>
        <v>94.399999999999991</v>
      </c>
      <c r="K45" s="89">
        <f t="shared" si="5"/>
        <v>94.399999999999991</v>
      </c>
      <c r="L45" s="89">
        <f t="shared" si="5"/>
        <v>94.399999999999991</v>
      </c>
      <c r="M45" s="89">
        <f t="shared" si="5"/>
        <v>94.399999999999991</v>
      </c>
      <c r="N45" s="140">
        <f t="shared" si="5"/>
        <v>94.399999999999991</v>
      </c>
    </row>
    <row r="46" spans="2:14" x14ac:dyDescent="0.25">
      <c r="N46" s="96"/>
    </row>
    <row r="47" spans="2:14" x14ac:dyDescent="0.25">
      <c r="N47" s="96"/>
    </row>
    <row r="48" spans="2:14" x14ac:dyDescent="0.25">
      <c r="B48" s="141" t="s">
        <v>185</v>
      </c>
      <c r="N48" s="96"/>
    </row>
    <row r="49" spans="2:14" ht="7.5" customHeight="1" x14ac:dyDescent="0.25"/>
    <row r="50" spans="2:14" s="145" customFormat="1" ht="13.8" x14ac:dyDescent="0.3">
      <c r="B50" s="142" t="s">
        <v>186</v>
      </c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4"/>
    </row>
    <row r="51" spans="2:14" s="145" customFormat="1" ht="13.8" x14ac:dyDescent="0.3">
      <c r="B51" s="146" t="s">
        <v>187</v>
      </c>
      <c r="C51" s="147" t="s">
        <v>188</v>
      </c>
      <c r="E51" s="148" t="s">
        <v>189</v>
      </c>
      <c r="F51" s="149" t="s">
        <v>190</v>
      </c>
      <c r="G51" s="147"/>
      <c r="H51" s="148" t="s">
        <v>191</v>
      </c>
      <c r="I51" s="149" t="s">
        <v>192</v>
      </c>
      <c r="K51" s="148" t="s">
        <v>193</v>
      </c>
      <c r="L51" s="149" t="s">
        <v>194</v>
      </c>
      <c r="M51" s="147"/>
      <c r="N51" s="150"/>
    </row>
    <row r="52" spans="2:14" s="145" customFormat="1" ht="13.8" x14ac:dyDescent="0.3">
      <c r="B52" s="151"/>
      <c r="C52" s="152" t="s">
        <v>194</v>
      </c>
      <c r="E52" s="55" t="s">
        <v>195</v>
      </c>
      <c r="F52" s="145" t="s">
        <v>266</v>
      </c>
      <c r="H52" s="55" t="s">
        <v>197</v>
      </c>
      <c r="I52" s="145" t="s">
        <v>198</v>
      </c>
      <c r="L52" s="145" t="s">
        <v>203</v>
      </c>
      <c r="N52" s="153"/>
    </row>
    <row r="53" spans="2:14" s="145" customFormat="1" ht="13.8" x14ac:dyDescent="0.3">
      <c r="B53" s="151"/>
      <c r="C53" s="145" t="s">
        <v>200</v>
      </c>
      <c r="F53" s="145" t="s">
        <v>201</v>
      </c>
      <c r="I53" s="145" t="s">
        <v>202</v>
      </c>
      <c r="L53" s="145" t="s">
        <v>207</v>
      </c>
      <c r="N53" s="153"/>
    </row>
    <row r="54" spans="2:14" s="145" customFormat="1" ht="13.8" x14ac:dyDescent="0.3">
      <c r="B54" s="151"/>
      <c r="C54" s="145" t="s">
        <v>204</v>
      </c>
      <c r="F54" s="145" t="s">
        <v>205</v>
      </c>
      <c r="I54" s="145" t="s">
        <v>206</v>
      </c>
      <c r="L54" s="145" t="s">
        <v>211</v>
      </c>
      <c r="N54" s="153"/>
    </row>
    <row r="55" spans="2:14" s="145" customFormat="1" ht="13.8" x14ac:dyDescent="0.3">
      <c r="B55" s="151"/>
      <c r="C55" s="145" t="s">
        <v>208</v>
      </c>
      <c r="F55" s="145" t="s">
        <v>209</v>
      </c>
      <c r="L55" s="145" t="s">
        <v>214</v>
      </c>
      <c r="N55" s="153"/>
    </row>
    <row r="56" spans="2:14" s="145" customFormat="1" ht="13.8" x14ac:dyDescent="0.3">
      <c r="B56" s="151"/>
      <c r="C56" s="145" t="s">
        <v>212</v>
      </c>
      <c r="F56" s="145" t="s">
        <v>216</v>
      </c>
      <c r="L56" s="145" t="s">
        <v>223</v>
      </c>
      <c r="N56" s="153"/>
    </row>
    <row r="57" spans="2:14" s="145" customFormat="1" ht="13.8" x14ac:dyDescent="0.3">
      <c r="B57" s="151"/>
      <c r="C57" s="145" t="s">
        <v>215</v>
      </c>
      <c r="F57" s="145" t="s">
        <v>222</v>
      </c>
      <c r="N57" s="153"/>
    </row>
    <row r="58" spans="2:14" s="145" customFormat="1" ht="13.8" x14ac:dyDescent="0.3">
      <c r="B58" s="151"/>
      <c r="C58" s="145" t="s">
        <v>221</v>
      </c>
      <c r="F58" s="145" t="s">
        <v>224</v>
      </c>
      <c r="N58" s="153"/>
    </row>
    <row r="59" spans="2:14" s="145" customFormat="1" ht="13.8" x14ac:dyDescent="0.3">
      <c r="B59" s="151"/>
      <c r="N59" s="153"/>
    </row>
    <row r="60" spans="2:14" s="145" customFormat="1" ht="13.8" x14ac:dyDescent="0.3">
      <c r="B60" s="151"/>
      <c r="N60" s="153"/>
    </row>
    <row r="61" spans="2:14" s="145" customFormat="1" ht="13.8" x14ac:dyDescent="0.3">
      <c r="B61" s="155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6"/>
    </row>
    <row r="62" spans="2:14" s="145" customFormat="1" ht="13.8" x14ac:dyDescent="0.3"/>
    <row r="63" spans="2:14" s="145" customFormat="1" ht="12" customHeight="1" x14ac:dyDescent="0.3">
      <c r="B63" s="157" t="s">
        <v>225</v>
      </c>
      <c r="C63" s="158"/>
      <c r="E63" s="159" t="s">
        <v>267</v>
      </c>
      <c r="F63" s="160"/>
      <c r="G63" s="161"/>
      <c r="I63" s="159" t="s">
        <v>268</v>
      </c>
      <c r="J63" s="159"/>
      <c r="K63" s="162"/>
    </row>
    <row r="64" spans="2:14" s="145" customFormat="1" ht="12" customHeight="1" x14ac:dyDescent="0.3">
      <c r="B64" s="163" t="s">
        <v>190</v>
      </c>
      <c r="C64" s="164"/>
      <c r="E64" s="163" t="s">
        <v>190</v>
      </c>
      <c r="G64" s="164"/>
      <c r="I64" s="163" t="s">
        <v>190</v>
      </c>
      <c r="K64" s="164"/>
    </row>
    <row r="65" spans="2:11" s="145" customFormat="1" ht="12" customHeight="1" x14ac:dyDescent="0.3">
      <c r="B65" s="151" t="s">
        <v>228</v>
      </c>
      <c r="C65" s="164"/>
      <c r="E65" s="151" t="s">
        <v>269</v>
      </c>
      <c r="F65" s="55"/>
      <c r="G65" s="164"/>
      <c r="I65" s="151" t="s">
        <v>270</v>
      </c>
      <c r="J65" s="55"/>
      <c r="K65" s="164"/>
    </row>
    <row r="66" spans="2:11" s="145" customFormat="1" ht="12" customHeight="1" x14ac:dyDescent="0.3">
      <c r="B66" s="151" t="s">
        <v>231</v>
      </c>
      <c r="C66" s="164"/>
      <c r="E66" s="165" t="s">
        <v>271</v>
      </c>
      <c r="F66" s="166"/>
      <c r="G66" s="167"/>
      <c r="I66" s="151" t="s">
        <v>272</v>
      </c>
      <c r="K66" s="164"/>
    </row>
    <row r="67" spans="2:11" s="145" customFormat="1" ht="12" customHeight="1" x14ac:dyDescent="0.3">
      <c r="B67" s="151" t="s">
        <v>234</v>
      </c>
      <c r="C67" s="168"/>
      <c r="E67" s="165"/>
      <c r="G67" s="168"/>
      <c r="I67" s="190" t="s">
        <v>273</v>
      </c>
      <c r="J67" s="154"/>
      <c r="K67" s="169"/>
    </row>
    <row r="68" spans="2:11" s="145" customFormat="1" ht="12" customHeight="1" x14ac:dyDescent="0.3">
      <c r="B68" s="151"/>
      <c r="C68" s="164"/>
      <c r="E68" s="163"/>
      <c r="G68" s="164"/>
    </row>
    <row r="69" spans="2:11" s="145" customFormat="1" ht="12" customHeight="1" x14ac:dyDescent="0.3">
      <c r="B69" s="163" t="s">
        <v>237</v>
      </c>
      <c r="C69" s="164"/>
      <c r="E69" s="155"/>
      <c r="F69" s="154"/>
      <c r="G69" s="170"/>
    </row>
    <row r="70" spans="2:11" s="145" customFormat="1" ht="12" customHeight="1" x14ac:dyDescent="0.3">
      <c r="B70" s="171" t="s">
        <v>239</v>
      </c>
      <c r="C70" s="170"/>
      <c r="F70" s="55"/>
      <c r="I70" s="151"/>
    </row>
    <row r="71" spans="2:11" s="145" customFormat="1" ht="13.8" x14ac:dyDescent="0.3"/>
  </sheetData>
  <mergeCells count="5">
    <mergeCell ref="B23:E23"/>
    <mergeCell ref="B24:E24"/>
    <mergeCell ref="B32:E32"/>
    <mergeCell ref="B41:E41"/>
    <mergeCell ref="B45:E45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5K</vt:lpstr>
      <vt:lpstr>10K</vt:lpstr>
      <vt:lpstr>15K</vt:lpstr>
      <vt:lpstr>5K DUO</vt:lpstr>
      <vt:lpstr>10K DUO</vt:lpstr>
      <vt:lpstr>15K DUO</vt:lpstr>
      <vt:lpstr>Sportage NQ5 HEV 1.6 DCT (15K)</vt:lpstr>
      <vt:lpstr>Niro SG2 HEV 1.6 GDI (15K)</vt:lpstr>
      <vt:lpstr>Niro DE HEV 1.6 GDI (15K) </vt:lpstr>
      <vt:lpstr>Niro SG2 EV (15K) </vt:lpstr>
      <vt:lpstr>EV5 EV (15K) </vt:lpstr>
      <vt:lpstr>EV9 (MV)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Agüero Barreto</dc:creator>
  <cp:lastModifiedBy>Alejandro Agüero Barreto</cp:lastModifiedBy>
  <dcterms:created xsi:type="dcterms:W3CDTF">2026-06-18T21:47:35Z</dcterms:created>
  <dcterms:modified xsi:type="dcterms:W3CDTF">2026-06-19T02:09:59Z</dcterms:modified>
</cp:coreProperties>
</file>